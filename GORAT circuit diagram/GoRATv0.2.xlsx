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-my.sharepoint.com/personal/nh22239_bristol_ac_uk/Documents/Documents/GitHub/GORAT-guitar-pedal/GORAT circuit diagram/"/>
    </mc:Choice>
  </mc:AlternateContent>
  <xr:revisionPtr revIDLastSave="5" documentId="8_{47C4037F-8D28-4DF1-94F0-25874F942EAC}" xr6:coauthVersionLast="47" xr6:coauthVersionMax="47" xr10:uidLastSave="{2D724ABA-583D-4AD1-B578-83AF16D9700B}"/>
  <bookViews>
    <workbookView xWindow="-108" yWindow="-108" windowWidth="23256" windowHeight="12456" xr2:uid="{21146C73-3D44-4431-9454-946EEF1445F6}"/>
  </bookViews>
  <sheets>
    <sheet name="GoRATv0.2" sheetId="1" r:id="rId1"/>
  </sheets>
  <externalReferences>
    <externalReference r:id="rId2"/>
  </externalReferenc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</calcChain>
</file>

<file path=xl/sharedStrings.xml><?xml version="1.0" encoding="utf-8"?>
<sst xmlns="http://schemas.openxmlformats.org/spreadsheetml/2006/main" count="276" uniqueCount="185">
  <si>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</si>
  <si>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</si>
  <si>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</si>
  <si>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</si>
  <si>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</si>
  <si>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</si>
  <si>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</si>
  <si>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</si>
  <si>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C1,C9</t>
  </si>
  <si>
    <t>22n</t>
  </si>
  <si>
    <t>Capacitor_THT:C_Disc_D4.7mm_W2.5mm_P5.00mm</t>
  </si>
  <si>
    <t>~</t>
  </si>
  <si>
    <t>C2</t>
  </si>
  <si>
    <t>1n</t>
  </si>
  <si>
    <t>C3,C23,C24,C25,C26</t>
  </si>
  <si>
    <t>10n</t>
  </si>
  <si>
    <t>C4</t>
  </si>
  <si>
    <t>100p</t>
  </si>
  <si>
    <t>C5,C6,C18</t>
  </si>
  <si>
    <t>1u</t>
  </si>
  <si>
    <t>C8</t>
  </si>
  <si>
    <t>68p</t>
  </si>
  <si>
    <t>C12</t>
  </si>
  <si>
    <t>0.1u</t>
  </si>
  <si>
    <t>Cp7</t>
  </si>
  <si>
    <t>4.7u</t>
  </si>
  <si>
    <t>Capacitor_THT:CP_Radial_D5.0mm_P2.50mm</t>
  </si>
  <si>
    <t>Cp11</t>
  </si>
  <si>
    <t>100u</t>
  </si>
  <si>
    <t>Cp13</t>
  </si>
  <si>
    <t>47u</t>
  </si>
  <si>
    <t>Cp14</t>
  </si>
  <si>
    <t>10u</t>
  </si>
  <si>
    <t>Cp15</t>
  </si>
  <si>
    <t>22u</t>
  </si>
  <si>
    <t>Cp19</t>
  </si>
  <si>
    <t>D1,D2</t>
  </si>
  <si>
    <t>1N914</t>
  </si>
  <si>
    <t>PCM_Diode_THT_AKL:D_DO-35_SOD27_P7.62mm_Horizontal</t>
  </si>
  <si>
    <t>https://datasheet.octopart.com/1N914ATR-ON-Semiconductor-datasheet-42765246.pdf</t>
  </si>
  <si>
    <t>D3</t>
  </si>
  <si>
    <t>1N4002</t>
  </si>
  <si>
    <t>PCM_Diode_THT_AKL:D_DO-41_SOD81_P7.62mm_Horizontal</t>
  </si>
  <si>
    <t>https://www.tme.eu/Document/5f8ffc5ac30fc86bac97d66040bf5502/1n400x.pdf</t>
  </si>
  <si>
    <t>D4</t>
  </si>
  <si>
    <t>Red</t>
  </si>
  <si>
    <t>PCM_LED_THT_AKL:LED_D5.0mm</t>
  </si>
  <si>
    <t>D5,D6</t>
  </si>
  <si>
    <t>PCM_LED_THT_AKL:LED_D3.0mm</t>
  </si>
  <si>
    <t>D7,D8</t>
  </si>
  <si>
    <t>BAT41</t>
  </si>
  <si>
    <t>Diode_THT:D_DO-35_SOD27_P7.62mm_Horizontal</t>
  </si>
  <si>
    <t>http://www.vishay.com/docs/85659/bat41.pdf</t>
  </si>
  <si>
    <t>J1,J2</t>
  </si>
  <si>
    <t>AudioJack2</t>
  </si>
  <si>
    <t>J6</t>
  </si>
  <si>
    <t>Barrel_Jack</t>
  </si>
  <si>
    <t>Q1</t>
  </si>
  <si>
    <t>J111</t>
  </si>
  <si>
    <t>PCM_Package_TO_SOT_THT_AKL:TO-92_Inline_Wide_DSG</t>
  </si>
  <si>
    <t>https://www.tme.eu/Document/2ab8d7a6d6d8a209f9d7deeb52763e9f/J111.pdf</t>
  </si>
  <si>
    <t>R1,R2,R8,R14,R19,R23,R25</t>
  </si>
  <si>
    <t>1M</t>
  </si>
  <si>
    <t>Resistor_THT:R_Axial_DIN0207_L6.3mm_D2.5mm_P10.16mm_Horizontal</t>
  </si>
  <si>
    <t>R3,R6</t>
  </si>
  <si>
    <t>1K</t>
  </si>
  <si>
    <t>R4,R10</t>
  </si>
  <si>
    <t>R5</t>
  </si>
  <si>
    <t>10k</t>
  </si>
  <si>
    <t>R13</t>
  </si>
  <si>
    <t>2.2k</t>
  </si>
  <si>
    <t>R16,R17,R18</t>
  </si>
  <si>
    <t>22k</t>
  </si>
  <si>
    <t>R21</t>
  </si>
  <si>
    <t>27k</t>
  </si>
  <si>
    <t>R26,R27</t>
  </si>
  <si>
    <t>47k</t>
  </si>
  <si>
    <t>RV1-GAIN1,RV3-VOLWet1,RV4-VOLDry1</t>
  </si>
  <si>
    <t>100K</t>
  </si>
  <si>
    <t>Daves customs:Potentiometer_Alpha_RD901F-40-00D_Single_Vertical</t>
  </si>
  <si>
    <t>RV2-TILT1</t>
  </si>
  <si>
    <t>Potentiometer_THT:Potentiometer_Alpha_RD902F-40-00D_Dual_Vertical</t>
  </si>
  <si>
    <t>S1</t>
  </si>
  <si>
    <t>SWITCH-3PDT</t>
  </si>
  <si>
    <t>Daves customs:3PDT_fixed</t>
  </si>
  <si>
    <t>SW1</t>
  </si>
  <si>
    <t>SW_DPDT_x2</t>
  </si>
  <si>
    <t>Daves customs:DPDT_fixed</t>
  </si>
  <si>
    <t>SW8</t>
  </si>
  <si>
    <t>SW_Rotary2x6</t>
  </si>
  <si>
    <t>Daves customs:RS26</t>
  </si>
  <si>
    <t>http://cdn-reichelt.de/documents/datenblatt/C200/DS-Serie%23LOR.pdf</t>
  </si>
  <si>
    <t>U1</t>
  </si>
  <si>
    <t>OP07CP</t>
  </si>
  <si>
    <t>PCM_Package_DIP_AKL:DIP-8_W7.62mm_LongPads</t>
  </si>
  <si>
    <t>http://web.mit.edu/6.301/www/LM108.pdf</t>
  </si>
  <si>
    <t>U2,U3</t>
  </si>
  <si>
    <t>TL072ACP</t>
  </si>
  <si>
    <t>https://www.ti.com/lit/ds/symlink/tl072h.pdf?ts=1635057479364</t>
  </si>
  <si>
    <t>Manu No</t>
  </si>
  <si>
    <t>Per batch</t>
  </si>
  <si>
    <t>Supplier</t>
  </si>
  <si>
    <t>Order code</t>
  </si>
  <si>
    <t>Unit price</t>
  </si>
  <si>
    <t>Subtotal</t>
  </si>
  <si>
    <t>K223K15X7RF5UH5</t>
  </si>
  <si>
    <t>CA10734</t>
  </si>
  <si>
    <t>K102J15C0GF53L2</t>
  </si>
  <si>
    <t>CA06816</t>
  </si>
  <si>
    <t>K101J15C0GF53L2</t>
  </si>
  <si>
    <t>CA06809</t>
  </si>
  <si>
    <t>MCGPR50V105M5X11</t>
  </si>
  <si>
    <t>25YXJ100M5X11</t>
  </si>
  <si>
    <t>K104K15X7RF53L2</t>
  </si>
  <si>
    <t>MCGPR25V106M5X11</t>
  </si>
  <si>
    <t>MCGPR25V226M5X11</t>
  </si>
  <si>
    <t>K680J15C0GF53L2</t>
  </si>
  <si>
    <t>K103K15X7RH53L2</t>
  </si>
  <si>
    <t>MCMLR50V105MY5V</t>
  </si>
  <si>
    <t>CA08738</t>
  </si>
  <si>
    <t>ECA1CAK470X</t>
  </si>
  <si>
    <t>CA05723</t>
  </si>
  <si>
    <t>MCMHR63V475M5X7</t>
  </si>
  <si>
    <t>CA08251</t>
  </si>
  <si>
    <t>SC08157</t>
  </si>
  <si>
    <t>1N4002G</t>
  </si>
  <si>
    <t>SC17771</t>
  </si>
  <si>
    <t>MP006838</t>
  </si>
  <si>
    <t>SC19413</t>
  </si>
  <si>
    <t>HLMP-K150</t>
  </si>
  <si>
    <t>SC11548</t>
  </si>
  <si>
    <t>SC07323</t>
  </si>
  <si>
    <t>NYS229</t>
  </si>
  <si>
    <t>Off-board wiring</t>
  </si>
  <si>
    <t>CN26775</t>
  </si>
  <si>
    <t>PPW01004</t>
  </si>
  <si>
    <t>AV15144</t>
  </si>
  <si>
    <t>SC12586</t>
  </si>
  <si>
    <t>MF50 1K</t>
  </si>
  <si>
    <t>MF50 560R</t>
  </si>
  <si>
    <t>MF50 10K</t>
  </si>
  <si>
    <t>MF50 2K2</t>
  </si>
  <si>
    <t>MF50 22K</t>
  </si>
  <si>
    <t>MF50 27K</t>
  </si>
  <si>
    <t>MF50 47K</t>
  </si>
  <si>
    <t>SC16157</t>
  </si>
  <si>
    <t>SC16455</t>
  </si>
  <si>
    <t>MF50 1M</t>
  </si>
  <si>
    <t>RE05070</t>
  </si>
  <si>
    <t>RE05058</t>
  </si>
  <si>
    <t>1MD1T6B11M1QE</t>
  </si>
  <si>
    <t>SW02868</t>
  </si>
  <si>
    <t>In Stock?</t>
  </si>
  <si>
    <t>Thonk</t>
  </si>
  <si>
    <t>cpc</t>
  </si>
  <si>
    <t>Knob (pot)</t>
  </si>
  <si>
    <t>Knob (rot)</t>
  </si>
  <si>
    <t>B100K - T18 shaft - Alpha Vertical 9mm Potentiometer</t>
  </si>
  <si>
    <t>CK1050</t>
  </si>
  <si>
    <t>SW02748</t>
  </si>
  <si>
    <t>47ohm</t>
  </si>
  <si>
    <t>560ohm</t>
  </si>
  <si>
    <t>Tall Synthpointer - Large - T18 Shaft</t>
  </si>
  <si>
    <t>Black - Medium (6.35mm Round Shaft) - Synth Pointer Plastic Knob</t>
  </si>
  <si>
    <t>RE05048</t>
  </si>
  <si>
    <t>CA06807</t>
  </si>
  <si>
    <t>CA06821</t>
  </si>
  <si>
    <t>CA06802</t>
  </si>
  <si>
    <t>CA09737</t>
  </si>
  <si>
    <t>CA04744</t>
  </si>
  <si>
    <t>CA04745</t>
  </si>
  <si>
    <t>CA04763</t>
  </si>
  <si>
    <t>MCF 1W 47R</t>
  </si>
  <si>
    <t>RE04043</t>
  </si>
  <si>
    <t>RE05027</t>
  </si>
  <si>
    <t>RE05044</t>
  </si>
  <si>
    <t>R7,R9, R11,R12,R15,R20,R22,R24</t>
  </si>
  <si>
    <t>RE05035</t>
  </si>
  <si>
    <t>RE05049</t>
  </si>
  <si>
    <t>RE05052</t>
  </si>
  <si>
    <t>B100K - DUAL GANG - T18 shaft - Alpha Vertical 9mm Potentiometer</t>
  </si>
  <si>
    <t>pedalparts</t>
  </si>
  <si>
    <t>Enclosure</t>
  </si>
  <si>
    <t>1590BB</t>
  </si>
  <si>
    <t>EN82042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</si>
</sst>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£&quot;* #,##0.00_-;\-&quot;£&quot;* #,##0.00_-;_-&quot;£&quot;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44" fontId="0" fillId="0" borderId="0" xfId="1" applyFont="1"/>
    <xf numFmtId="44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ob-my.sharepoint.com/personal/nh22239_bristol_ac_uk/Documents/Documents/GitHub/GORAT-guitar-pedal/GORAT%20circuit%20diagram/GoRAT%20(version%201).xlsx" TargetMode="External"/><Relationship Id="rId1" Type="http://schemas.openxmlformats.org/officeDocument/2006/relationships/externalLinkPath" Target="GoRAT%20(version%20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oRAT (version 1)"/>
    </sheet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63B571-F9A9-486D-A0D8-BB78D63816DA}" name="Table1" displayName="Table1" ref="A1:O41" totalsRowShown="0">
  <autoFilter ref="A1:O41" xr:uid="{0F63B571-F9A9-486D-A0D8-BB78D63816DA}"/>
  <tableColumns count="15">
    <tableColumn id="1" xr3:uid="{69F20E83-87F7-4BC2-8775-78EE5112C6E8}" name="Reference"/>
    <tableColumn id="2" xr3:uid="{81B60E77-B343-4A41-BA51-2AAD8E050730}" name="Value"/>
    <tableColumn id="3" xr3:uid="{2D121824-ECD2-4470-93EE-98FF295C3806}" name="Manu No"/>
    <tableColumn id="4" xr3:uid="{32D8E4A6-669B-433E-A5FA-05D4A39051CE}" name="Qty"/>
    <tableColumn id="5" xr3:uid="{B288A4DB-A05D-41E2-B46B-BFBB1515E117}" name="Per batch"/>
    <tableColumn id="15" xr3:uid="{E77063A3-FBF4-4750-ACED-DFBEC2BF6521}" name="In Stock?"/>
    <tableColumn id="6" xr3:uid="{F7427E95-6E95-441E-BDF1-6B9DC253E666}" name="DNP"/>
    <tableColumn id="7" xr3:uid="{D4050032-D546-47FE-8C83-6F4726F948A2}" name="Exclude from BOM"/>
    <tableColumn id="8" xr3:uid="{FB85D5CA-E608-4E13-949E-7C3587604600}" name="Exclude from Board"/>
    <tableColumn id="9" xr3:uid="{EA406DCA-1487-4FD3-8CFD-F0AF52E5A252}" name="Footprint"/>
    <tableColumn id="10" xr3:uid="{C9C28010-C4FC-4AAC-B722-5A49EB34A6B3}" name="Supplier"/>
    <tableColumn id="11" xr3:uid="{B3476225-4239-4A09-807B-339D89590128}" name="Order code"/>
    <tableColumn id="12" xr3:uid="{BCFC84A9-5793-473E-A15F-C0002BAC3C20}" name="Datasheet"/>
    <tableColumn id="13" xr3:uid="{0E4214AA-3485-4219-9110-B56999F67926}" name="Unit price" dataCellStyle="Currency"/>
    <tableColumn id="14" xr3:uid="{27BD2583-834F-479B-B8B7-CD5D4AEDECF9}" name="Sub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BD0F3-BDB9-46A2-AC5D-D62D1F8B95F2}">
  <dimension ref="A1:P41"/>
  <sheetViews>
    <sheetView tabSelected="1" workbookViewId="0">
      <selection activeCell="E37" sqref="E37"/>
    </sheetView>
  </sheetViews>
  <sheetFormatPr defaultRowHeight="14.4" x14ac:dyDescent="0.3"/>
  <cols>
    <col min="1" max="1" width="11.21875" customWidth="1"/>
    <col min="3" max="3" width="10" customWidth="1"/>
    <col min="5" max="6" width="10.77734375" customWidth="1"/>
    <col min="8" max="8" width="17.88671875" customWidth="1"/>
    <col min="9" max="9" width="18.88671875" customWidth="1"/>
    <col min="10" max="10" width="10.5546875" customWidth="1"/>
    <col min="11" max="11" width="10" customWidth="1"/>
    <col min="12" max="12" width="12.109375" customWidth="1"/>
    <col min="13" max="13" width="11.33203125" customWidth="1"/>
    <col min="14" max="14" width="11" style="2" customWidth="1"/>
    <col min="15" max="15" width="10" customWidth="1"/>
  </cols>
  <sheetData>
    <row r="1" spans="1:15" x14ac:dyDescent="0.3">
      <c r="A1" t="s">
        <v>0</v>
      </c>
      <c r="B1" t="s">
        <v>2</v>
      </c>
      <c r="C1" t="s">
        <v>99</v>
      </c>
      <c r="D1" t="s">
        <v>1</v>
      </c>
      <c r="E1" t="s">
        <v>100</v>
      </c>
      <c r="F1" t="s">
        <v>152</v>
      </c>
      <c r="G1" t="s">
        <v>3</v>
      </c>
      <c r="H1" t="s">
        <v>4</v>
      </c>
      <c r="I1" t="s">
        <v>5</v>
      </c>
      <c r="J1" t="s">
        <v>6</v>
      </c>
      <c r="K1" t="s">
        <v>101</v>
      </c>
      <c r="L1" t="s">
        <v>102</v>
      </c>
      <c r="M1" t="s">
        <v>7</v>
      </c>
      <c r="N1" t="s">
        <v>103</v>
      </c>
      <c r="O1" t="s">
        <v>104</v>
      </c>
    </row>
    <row r="2" spans="1:15" x14ac:dyDescent="0.3">
      <c r="A2" t="s">
        <v>8</v>
      </c>
      <c r="B2" t="s">
        <v>9</v>
      </c>
      <c r="C2" t="s">
        <v>105</v>
      </c>
      <c r="D2">
        <v>2</v>
      </c>
      <c r="E2">
        <v>10</v>
      </c>
      <c r="J2" t="s">
        <v>10</v>
      </c>
      <c r="K2" t="s">
        <v>154</v>
      </c>
      <c r="L2" t="s">
        <v>106</v>
      </c>
      <c r="M2" t="s">
        <v>11</v>
      </c>
      <c r="N2" s="2">
        <v>0.08</v>
      </c>
    </row>
    <row r="3" spans="1:15" x14ac:dyDescent="0.3">
      <c r="A3" t="s">
        <v>12</v>
      </c>
      <c r="B3" t="s">
        <v>13</v>
      </c>
      <c r="C3" t="s">
        <v>107</v>
      </c>
      <c r="D3">
        <v>1</v>
      </c>
      <c r="E3">
        <v>5</v>
      </c>
      <c r="J3" t="s">
        <v>10</v>
      </c>
      <c r="K3" t="s">
        <v>154</v>
      </c>
      <c r="L3" t="s">
        <v>108</v>
      </c>
      <c r="M3" t="s">
        <v>11</v>
      </c>
      <c r="N3" s="2">
        <v>0.18</v>
      </c>
    </row>
    <row r="4" spans="1:15" x14ac:dyDescent="0.3">
      <c r="A4" t="s">
        <v>14</v>
      </c>
      <c r="B4" t="s">
        <v>15</v>
      </c>
      <c r="C4" t="s">
        <v>117</v>
      </c>
      <c r="D4">
        <v>5</v>
      </c>
      <c r="E4">
        <v>25</v>
      </c>
      <c r="J4" t="s">
        <v>10</v>
      </c>
      <c r="K4" t="s">
        <v>154</v>
      </c>
      <c r="L4" t="s">
        <v>165</v>
      </c>
      <c r="M4" t="s">
        <v>11</v>
      </c>
      <c r="N4" s="2">
        <v>0.25</v>
      </c>
    </row>
    <row r="5" spans="1:15" x14ac:dyDescent="0.3">
      <c r="A5" t="s">
        <v>16</v>
      </c>
      <c r="B5" t="s">
        <v>17</v>
      </c>
      <c r="C5" t="s">
        <v>109</v>
      </c>
      <c r="D5">
        <v>1</v>
      </c>
      <c r="E5">
        <v>5</v>
      </c>
      <c r="J5" t="s">
        <v>10</v>
      </c>
      <c r="K5" t="s">
        <v>154</v>
      </c>
      <c r="L5" t="s">
        <v>110</v>
      </c>
      <c r="M5" t="s">
        <v>11</v>
      </c>
      <c r="N5" s="2">
        <v>0.06</v>
      </c>
    </row>
    <row r="6" spans="1:15" x14ac:dyDescent="0.3">
      <c r="A6" t="s">
        <v>18</v>
      </c>
      <c r="B6" t="s">
        <v>19</v>
      </c>
      <c r="C6" t="s">
        <v>118</v>
      </c>
      <c r="D6">
        <v>3</v>
      </c>
      <c r="E6">
        <v>15</v>
      </c>
      <c r="J6" t="s">
        <v>10</v>
      </c>
      <c r="K6" t="s">
        <v>154</v>
      </c>
      <c r="L6" s="1" t="s">
        <v>119</v>
      </c>
      <c r="M6" t="s">
        <v>11</v>
      </c>
      <c r="N6" s="2">
        <v>7.0000000000000007E-2</v>
      </c>
    </row>
    <row r="7" spans="1:15" x14ac:dyDescent="0.3">
      <c r="A7" t="s">
        <v>20</v>
      </c>
      <c r="B7" t="s">
        <v>21</v>
      </c>
      <c r="C7" t="s">
        <v>116</v>
      </c>
      <c r="D7">
        <v>1</v>
      </c>
      <c r="E7">
        <v>5</v>
      </c>
      <c r="J7" t="s">
        <v>10</v>
      </c>
      <c r="K7" t="s">
        <v>154</v>
      </c>
      <c r="L7" t="s">
        <v>166</v>
      </c>
      <c r="M7" t="s">
        <v>11</v>
      </c>
      <c r="N7" s="2">
        <v>0.13</v>
      </c>
    </row>
    <row r="8" spans="1:15" x14ac:dyDescent="0.3">
      <c r="A8" t="s">
        <v>22</v>
      </c>
      <c r="B8" t="s">
        <v>23</v>
      </c>
      <c r="C8" t="s">
        <v>113</v>
      </c>
      <c r="D8">
        <v>1</v>
      </c>
      <c r="E8">
        <v>5</v>
      </c>
      <c r="J8" t="s">
        <v>10</v>
      </c>
      <c r="K8" t="s">
        <v>154</v>
      </c>
      <c r="L8" t="s">
        <v>167</v>
      </c>
      <c r="M8" t="s">
        <v>11</v>
      </c>
      <c r="N8" s="2">
        <v>0.1</v>
      </c>
    </row>
    <row r="9" spans="1:15" x14ac:dyDescent="0.3">
      <c r="A9" t="s">
        <v>24</v>
      </c>
      <c r="B9" t="s">
        <v>25</v>
      </c>
      <c r="C9" t="s">
        <v>122</v>
      </c>
      <c r="D9">
        <v>1</v>
      </c>
      <c r="E9">
        <v>5</v>
      </c>
      <c r="J9" t="s">
        <v>26</v>
      </c>
      <c r="K9" t="s">
        <v>154</v>
      </c>
      <c r="L9" t="s">
        <v>123</v>
      </c>
      <c r="M9" t="s">
        <v>11</v>
      </c>
      <c r="N9" s="2">
        <v>0.05</v>
      </c>
    </row>
    <row r="10" spans="1:15" x14ac:dyDescent="0.3">
      <c r="A10" t="s">
        <v>27</v>
      </c>
      <c r="B10" t="s">
        <v>28</v>
      </c>
      <c r="C10" t="s">
        <v>112</v>
      </c>
      <c r="D10">
        <v>1</v>
      </c>
      <c r="E10">
        <v>5</v>
      </c>
      <c r="J10" t="s">
        <v>26</v>
      </c>
      <c r="K10" t="s">
        <v>154</v>
      </c>
      <c r="L10" t="s">
        <v>168</v>
      </c>
      <c r="M10" t="s">
        <v>11</v>
      </c>
      <c r="N10" s="2">
        <v>0.09</v>
      </c>
    </row>
    <row r="11" spans="1:15" x14ac:dyDescent="0.3">
      <c r="A11" t="s">
        <v>29</v>
      </c>
      <c r="B11" t="s">
        <v>30</v>
      </c>
      <c r="C11" t="s">
        <v>120</v>
      </c>
      <c r="D11">
        <v>1</v>
      </c>
      <c r="E11">
        <v>5</v>
      </c>
      <c r="J11" t="s">
        <v>26</v>
      </c>
      <c r="K11" t="s">
        <v>154</v>
      </c>
      <c r="L11" t="s">
        <v>121</v>
      </c>
      <c r="M11" t="s">
        <v>11</v>
      </c>
      <c r="N11" s="2">
        <v>0.12</v>
      </c>
    </row>
    <row r="12" spans="1:15" x14ac:dyDescent="0.3">
      <c r="A12" t="s">
        <v>31</v>
      </c>
      <c r="B12" t="s">
        <v>32</v>
      </c>
      <c r="C12" t="s">
        <v>114</v>
      </c>
      <c r="D12">
        <v>1</v>
      </c>
      <c r="E12">
        <v>5</v>
      </c>
      <c r="J12" t="s">
        <v>26</v>
      </c>
      <c r="K12" t="s">
        <v>154</v>
      </c>
      <c r="L12" t="s">
        <v>169</v>
      </c>
      <c r="M12" t="s">
        <v>11</v>
      </c>
      <c r="N12" s="2">
        <v>0.23</v>
      </c>
    </row>
    <row r="13" spans="1:15" x14ac:dyDescent="0.3">
      <c r="A13" t="s">
        <v>33</v>
      </c>
      <c r="B13" t="s">
        <v>34</v>
      </c>
      <c r="C13" t="s">
        <v>115</v>
      </c>
      <c r="D13">
        <v>1</v>
      </c>
      <c r="E13">
        <v>5</v>
      </c>
      <c r="J13" t="s">
        <v>26</v>
      </c>
      <c r="K13" t="s">
        <v>154</v>
      </c>
      <c r="L13" t="s">
        <v>170</v>
      </c>
      <c r="M13" t="s">
        <v>11</v>
      </c>
      <c r="N13" s="2">
        <v>0.24</v>
      </c>
    </row>
    <row r="14" spans="1:15" x14ac:dyDescent="0.3">
      <c r="A14" t="s">
        <v>35</v>
      </c>
      <c r="B14" t="s">
        <v>19</v>
      </c>
      <c r="C14" t="s">
        <v>111</v>
      </c>
      <c r="D14">
        <v>1</v>
      </c>
      <c r="E14">
        <v>5</v>
      </c>
      <c r="J14" t="s">
        <v>26</v>
      </c>
      <c r="K14" t="s">
        <v>154</v>
      </c>
      <c r="L14" t="s">
        <v>171</v>
      </c>
      <c r="M14" t="s">
        <v>11</v>
      </c>
      <c r="N14" s="2">
        <v>0.21</v>
      </c>
    </row>
    <row r="15" spans="1:15" x14ac:dyDescent="0.3">
      <c r="A15" t="s">
        <v>36</v>
      </c>
      <c r="B15" t="s">
        <v>37</v>
      </c>
      <c r="C15" t="s">
        <v>37</v>
      </c>
      <c r="D15">
        <v>2</v>
      </c>
      <c r="E15">
        <v>10</v>
      </c>
      <c r="J15" t="s">
        <v>38</v>
      </c>
      <c r="K15" t="s">
        <v>154</v>
      </c>
      <c r="L15" t="s">
        <v>124</v>
      </c>
      <c r="M15" t="s">
        <v>39</v>
      </c>
      <c r="N15" s="2">
        <v>0.04</v>
      </c>
    </row>
    <row r="16" spans="1:15" x14ac:dyDescent="0.3">
      <c r="A16" t="s">
        <v>40</v>
      </c>
      <c r="B16" t="s">
        <v>41</v>
      </c>
      <c r="C16" t="s">
        <v>125</v>
      </c>
      <c r="D16">
        <v>1</v>
      </c>
      <c r="E16">
        <v>5</v>
      </c>
      <c r="J16" t="s">
        <v>42</v>
      </c>
      <c r="K16" t="s">
        <v>154</v>
      </c>
      <c r="L16" t="s">
        <v>126</v>
      </c>
      <c r="M16" t="s">
        <v>43</v>
      </c>
      <c r="N16" s="2">
        <v>0.06</v>
      </c>
    </row>
    <row r="17" spans="1:16" x14ac:dyDescent="0.3">
      <c r="A17" t="s">
        <v>44</v>
      </c>
      <c r="B17" t="s">
        <v>45</v>
      </c>
      <c r="C17" t="s">
        <v>127</v>
      </c>
      <c r="D17">
        <v>1</v>
      </c>
      <c r="E17">
        <v>5</v>
      </c>
      <c r="J17" t="s">
        <v>46</v>
      </c>
      <c r="K17" t="s">
        <v>154</v>
      </c>
      <c r="L17" t="s">
        <v>128</v>
      </c>
      <c r="N17" s="2">
        <v>0.06</v>
      </c>
    </row>
    <row r="18" spans="1:16" x14ac:dyDescent="0.3">
      <c r="A18" t="s">
        <v>47</v>
      </c>
      <c r="B18" t="s">
        <v>45</v>
      </c>
      <c r="C18" t="s">
        <v>129</v>
      </c>
      <c r="D18">
        <v>2</v>
      </c>
      <c r="E18">
        <v>10</v>
      </c>
      <c r="J18" t="s">
        <v>48</v>
      </c>
      <c r="K18" t="s">
        <v>154</v>
      </c>
      <c r="L18" t="s">
        <v>130</v>
      </c>
      <c r="N18" s="2">
        <v>0.24</v>
      </c>
    </row>
    <row r="19" spans="1:16" x14ac:dyDescent="0.3">
      <c r="A19" t="s">
        <v>49</v>
      </c>
      <c r="B19" t="s">
        <v>50</v>
      </c>
      <c r="C19" t="s">
        <v>50</v>
      </c>
      <c r="D19">
        <v>2</v>
      </c>
      <c r="E19">
        <v>10</v>
      </c>
      <c r="J19" t="s">
        <v>51</v>
      </c>
      <c r="K19" t="s">
        <v>154</v>
      </c>
      <c r="L19" t="s">
        <v>131</v>
      </c>
      <c r="M19" t="s">
        <v>52</v>
      </c>
      <c r="N19" s="2">
        <v>0.26</v>
      </c>
    </row>
    <row r="20" spans="1:16" x14ac:dyDescent="0.3">
      <c r="A20" t="s">
        <v>53</v>
      </c>
      <c r="B20" t="s">
        <v>54</v>
      </c>
      <c r="C20" t="s">
        <v>132</v>
      </c>
      <c r="D20">
        <v>2</v>
      </c>
      <c r="E20">
        <v>10</v>
      </c>
      <c r="J20" t="s">
        <v>133</v>
      </c>
      <c r="K20" t="s">
        <v>154</v>
      </c>
      <c r="L20" t="s">
        <v>134</v>
      </c>
      <c r="M20" t="s">
        <v>11</v>
      </c>
      <c r="N20" s="2">
        <v>0.75</v>
      </c>
    </row>
    <row r="21" spans="1:16" x14ac:dyDescent="0.3">
      <c r="A21" t="s">
        <v>55</v>
      </c>
      <c r="B21" t="s">
        <v>56</v>
      </c>
      <c r="C21" t="s">
        <v>135</v>
      </c>
      <c r="D21">
        <v>1</v>
      </c>
      <c r="E21">
        <v>3</v>
      </c>
      <c r="J21" t="s">
        <v>133</v>
      </c>
      <c r="K21" t="s">
        <v>154</v>
      </c>
      <c r="L21" t="s">
        <v>136</v>
      </c>
      <c r="M21" t="s">
        <v>11</v>
      </c>
      <c r="N21" s="2">
        <v>0.71</v>
      </c>
      <c r="O21" s="2"/>
      <c r="P21" s="3"/>
    </row>
    <row r="22" spans="1:16" x14ac:dyDescent="0.3">
      <c r="A22" t="s">
        <v>57</v>
      </c>
      <c r="B22" t="s">
        <v>58</v>
      </c>
      <c r="C22" t="s">
        <v>58</v>
      </c>
      <c r="D22">
        <v>1</v>
      </c>
      <c r="E22">
        <f>5*[1]!Table1[[#This Row],[Qty]]</f>
        <v>10</v>
      </c>
      <c r="J22" t="s">
        <v>59</v>
      </c>
      <c r="K22" t="s">
        <v>154</v>
      </c>
      <c r="L22" t="s">
        <v>137</v>
      </c>
      <c r="M22" t="s">
        <v>60</v>
      </c>
      <c r="N22" s="2">
        <v>0.21</v>
      </c>
      <c r="O22" s="2"/>
      <c r="P22" s="3"/>
    </row>
    <row r="23" spans="1:16" x14ac:dyDescent="0.3">
      <c r="A23" t="s">
        <v>61</v>
      </c>
      <c r="B23" t="s">
        <v>62</v>
      </c>
      <c r="C23" t="s">
        <v>147</v>
      </c>
      <c r="D23">
        <v>7</v>
      </c>
      <c r="E23">
        <v>1</v>
      </c>
      <c r="J23" t="s">
        <v>63</v>
      </c>
      <c r="K23" t="s">
        <v>154</v>
      </c>
      <c r="L23" t="s">
        <v>148</v>
      </c>
      <c r="M23" t="s">
        <v>11</v>
      </c>
      <c r="N23" s="2">
        <v>1.65</v>
      </c>
    </row>
    <row r="24" spans="1:16" x14ac:dyDescent="0.3">
      <c r="A24" t="s">
        <v>64</v>
      </c>
      <c r="B24" t="s">
        <v>65</v>
      </c>
      <c r="C24" t="s">
        <v>138</v>
      </c>
      <c r="D24">
        <v>2</v>
      </c>
      <c r="E24">
        <v>1</v>
      </c>
      <c r="J24" t="s">
        <v>63</v>
      </c>
      <c r="K24" t="s">
        <v>154</v>
      </c>
      <c r="L24" t="s">
        <v>149</v>
      </c>
      <c r="M24" t="s">
        <v>11</v>
      </c>
      <c r="N24" s="2">
        <v>1.84</v>
      </c>
    </row>
    <row r="25" spans="1:16" x14ac:dyDescent="0.3">
      <c r="A25" t="s">
        <v>66</v>
      </c>
      <c r="B25" t="s">
        <v>160</v>
      </c>
      <c r="C25" t="s">
        <v>172</v>
      </c>
      <c r="D25">
        <v>2</v>
      </c>
      <c r="E25">
        <v>10</v>
      </c>
      <c r="J25" t="s">
        <v>63</v>
      </c>
      <c r="K25" t="s">
        <v>154</v>
      </c>
      <c r="L25" t="s">
        <v>173</v>
      </c>
      <c r="M25" t="s">
        <v>11</v>
      </c>
      <c r="N25" s="2">
        <v>0.13</v>
      </c>
    </row>
    <row r="26" spans="1:16" x14ac:dyDescent="0.3">
      <c r="A26" t="s">
        <v>67</v>
      </c>
      <c r="B26" t="s">
        <v>161</v>
      </c>
      <c r="C26" t="s">
        <v>139</v>
      </c>
      <c r="D26">
        <v>1</v>
      </c>
      <c r="E26">
        <v>1</v>
      </c>
      <c r="J26" t="s">
        <v>63</v>
      </c>
      <c r="K26" t="s">
        <v>154</v>
      </c>
      <c r="L26" t="s">
        <v>174</v>
      </c>
      <c r="M26" t="s">
        <v>11</v>
      </c>
      <c r="N26" s="2">
        <v>1.65</v>
      </c>
    </row>
    <row r="27" spans="1:16" x14ac:dyDescent="0.3">
      <c r="A27" t="s">
        <v>176</v>
      </c>
      <c r="B27" t="s">
        <v>68</v>
      </c>
      <c r="C27" t="s">
        <v>140</v>
      </c>
      <c r="D27">
        <v>8</v>
      </c>
      <c r="E27">
        <v>1</v>
      </c>
      <c r="J27" t="s">
        <v>63</v>
      </c>
      <c r="K27" t="s">
        <v>154</v>
      </c>
      <c r="L27" t="s">
        <v>175</v>
      </c>
      <c r="M27" t="s">
        <v>11</v>
      </c>
      <c r="N27" s="2">
        <v>2.0299999999999998</v>
      </c>
    </row>
    <row r="28" spans="1:16" x14ac:dyDescent="0.3">
      <c r="A28" t="s">
        <v>69</v>
      </c>
      <c r="B28" t="s">
        <v>70</v>
      </c>
      <c r="C28" t="s">
        <v>141</v>
      </c>
      <c r="D28">
        <v>1</v>
      </c>
      <c r="E28">
        <v>1</v>
      </c>
      <c r="J28" t="s">
        <v>63</v>
      </c>
      <c r="K28" t="s">
        <v>154</v>
      </c>
      <c r="L28" t="s">
        <v>177</v>
      </c>
      <c r="M28" t="s">
        <v>11</v>
      </c>
      <c r="N28" s="2">
        <v>2.38</v>
      </c>
    </row>
    <row r="29" spans="1:16" x14ac:dyDescent="0.3">
      <c r="A29" t="s">
        <v>71</v>
      </c>
      <c r="B29" t="s">
        <v>72</v>
      </c>
      <c r="C29" t="s">
        <v>142</v>
      </c>
      <c r="D29">
        <v>3</v>
      </c>
      <c r="E29">
        <v>1</v>
      </c>
      <c r="J29" t="s">
        <v>63</v>
      </c>
      <c r="K29" t="s">
        <v>154</v>
      </c>
      <c r="L29" t="s">
        <v>164</v>
      </c>
      <c r="M29" t="s">
        <v>11</v>
      </c>
      <c r="N29" s="2">
        <v>1.77</v>
      </c>
    </row>
    <row r="30" spans="1:16" x14ac:dyDescent="0.3">
      <c r="A30" t="s">
        <v>73</v>
      </c>
      <c r="B30" t="s">
        <v>74</v>
      </c>
      <c r="C30" t="s">
        <v>143</v>
      </c>
      <c r="D30">
        <v>1</v>
      </c>
      <c r="E30">
        <v>1</v>
      </c>
      <c r="J30" t="s">
        <v>63</v>
      </c>
      <c r="K30" t="s">
        <v>154</v>
      </c>
      <c r="L30" t="s">
        <v>178</v>
      </c>
      <c r="M30" t="s">
        <v>11</v>
      </c>
      <c r="N30" s="2">
        <v>1.65</v>
      </c>
    </row>
    <row r="31" spans="1:16" x14ac:dyDescent="0.3">
      <c r="A31" t="s">
        <v>75</v>
      </c>
      <c r="B31" t="s">
        <v>76</v>
      </c>
      <c r="C31" t="s">
        <v>144</v>
      </c>
      <c r="D31">
        <v>2</v>
      </c>
      <c r="E31">
        <v>1</v>
      </c>
      <c r="J31" t="s">
        <v>63</v>
      </c>
      <c r="K31" t="s">
        <v>154</v>
      </c>
      <c r="L31" t="s">
        <v>179</v>
      </c>
      <c r="M31" t="s">
        <v>11</v>
      </c>
      <c r="N31" s="2">
        <v>1.73</v>
      </c>
    </row>
    <row r="32" spans="1:16" x14ac:dyDescent="0.3">
      <c r="A32" t="s">
        <v>77</v>
      </c>
      <c r="B32" t="s">
        <v>78</v>
      </c>
      <c r="C32" t="s">
        <v>157</v>
      </c>
      <c r="D32">
        <v>3</v>
      </c>
      <c r="E32">
        <v>15</v>
      </c>
      <c r="J32" t="s">
        <v>79</v>
      </c>
      <c r="K32" t="s">
        <v>153</v>
      </c>
      <c r="M32" t="s">
        <v>11</v>
      </c>
      <c r="N32" s="2">
        <v>1.67</v>
      </c>
    </row>
    <row r="33" spans="1:14" x14ac:dyDescent="0.3">
      <c r="A33" t="s">
        <v>80</v>
      </c>
      <c r="B33" t="s">
        <v>78</v>
      </c>
      <c r="C33" t="s">
        <v>180</v>
      </c>
      <c r="D33">
        <v>1</v>
      </c>
      <c r="E33">
        <v>5</v>
      </c>
      <c r="J33" t="s">
        <v>81</v>
      </c>
      <c r="K33" t="s">
        <v>153</v>
      </c>
      <c r="M33" t="s">
        <v>11</v>
      </c>
      <c r="N33" s="2">
        <v>1.99</v>
      </c>
    </row>
    <row r="34" spans="1:14" x14ac:dyDescent="0.3">
      <c r="A34" t="s">
        <v>82</v>
      </c>
      <c r="B34" t="s">
        <v>83</v>
      </c>
      <c r="D34">
        <v>1</v>
      </c>
      <c r="E34">
        <v>5</v>
      </c>
      <c r="J34" t="s">
        <v>84</v>
      </c>
      <c r="K34" t="s">
        <v>181</v>
      </c>
      <c r="N34" s="2">
        <v>2.5</v>
      </c>
    </row>
    <row r="35" spans="1:14" x14ac:dyDescent="0.3">
      <c r="A35" t="s">
        <v>85</v>
      </c>
      <c r="B35" t="s">
        <v>86</v>
      </c>
      <c r="C35" t="s">
        <v>150</v>
      </c>
      <c r="D35">
        <v>1</v>
      </c>
      <c r="E35">
        <v>5</v>
      </c>
      <c r="J35" t="s">
        <v>87</v>
      </c>
      <c r="K35" t="s">
        <v>154</v>
      </c>
      <c r="L35" t="s">
        <v>151</v>
      </c>
      <c r="M35" t="s">
        <v>11</v>
      </c>
      <c r="N35" s="2">
        <v>1.86</v>
      </c>
    </row>
    <row r="36" spans="1:14" x14ac:dyDescent="0.3">
      <c r="A36" t="s">
        <v>88</v>
      </c>
      <c r="B36" t="s">
        <v>89</v>
      </c>
      <c r="C36" t="s">
        <v>158</v>
      </c>
      <c r="D36">
        <v>1</v>
      </c>
      <c r="E36">
        <v>5</v>
      </c>
      <c r="J36" t="s">
        <v>90</v>
      </c>
      <c r="K36" t="s">
        <v>154</v>
      </c>
      <c r="L36" t="s">
        <v>159</v>
      </c>
      <c r="M36" t="s">
        <v>91</v>
      </c>
      <c r="N36" s="2">
        <v>2.5499999999999998</v>
      </c>
    </row>
    <row r="37" spans="1:14" x14ac:dyDescent="0.3">
      <c r="B37" t="s">
        <v>155</v>
      </c>
      <c r="C37" t="s">
        <v>162</v>
      </c>
      <c r="D37">
        <v>4</v>
      </c>
      <c r="E37">
        <v>20</v>
      </c>
      <c r="N37" s="2">
        <v>0.91</v>
      </c>
    </row>
    <row r="38" spans="1:14" x14ac:dyDescent="0.3">
      <c r="B38" t="s">
        <v>156</v>
      </c>
      <c r="C38" t="s">
        <v>163</v>
      </c>
      <c r="D38">
        <v>1</v>
      </c>
      <c r="E38">
        <v>5</v>
      </c>
      <c r="N38" s="2">
        <v>1.65</v>
      </c>
    </row>
    <row r="39" spans="1:14" x14ac:dyDescent="0.3">
      <c r="A39" t="s">
        <v>92</v>
      </c>
      <c r="B39" t="s">
        <v>93</v>
      </c>
      <c r="C39" t="s">
        <v>93</v>
      </c>
      <c r="D39">
        <v>1</v>
      </c>
      <c r="E39">
        <v>5</v>
      </c>
      <c r="J39" t="s">
        <v>94</v>
      </c>
      <c r="K39" t="s">
        <v>154</v>
      </c>
      <c r="L39" t="s">
        <v>145</v>
      </c>
      <c r="M39" t="s">
        <v>95</v>
      </c>
      <c r="N39" s="2">
        <v>1.98</v>
      </c>
    </row>
    <row r="40" spans="1:14" x14ac:dyDescent="0.3">
      <c r="A40" t="s">
        <v>96</v>
      </c>
      <c r="B40" t="s">
        <v>97</v>
      </c>
      <c r="C40" t="s">
        <v>97</v>
      </c>
      <c r="D40">
        <v>2</v>
      </c>
      <c r="E40">
        <v>10</v>
      </c>
      <c r="J40" t="s">
        <v>94</v>
      </c>
      <c r="K40" t="s">
        <v>154</v>
      </c>
      <c r="L40" t="s">
        <v>146</v>
      </c>
      <c r="M40" t="s">
        <v>98</v>
      </c>
      <c r="N40" s="2">
        <v>1.38</v>
      </c>
    </row>
    <row r="41" spans="1:14" x14ac:dyDescent="0.3">
      <c r="A41" t="s">
        <v>182</v>
      </c>
      <c r="B41" t="s">
        <v>183</v>
      </c>
      <c r="C41" t="s">
        <v>183</v>
      </c>
      <c r="D41">
        <v>1</v>
      </c>
      <c r="E41">
        <v>5</v>
      </c>
      <c r="K41" t="s">
        <v>154</v>
      </c>
      <c r="L41" t="s">
        <v>184</v>
      </c>
    </row>
  </sheetData>
  <pageMargins left="0.7" right="0.7" top="0.75" bottom="0.75" header="0.3" footer="0.3"/>
  <pageSetup paperSize="9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GoRATv0.2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Dave Wilson</cp:lastModifiedBy>
  <dcterms:created xsi:type="dcterms:W3CDTF">2026-04-14T15:19:28Z</dcterms:created>
  <dcterms:modified xsi:type="dcterms:W3CDTF">2026-04-23T14:37:42Z</dcterms:modified>
</cp:coreProperties>
</file>
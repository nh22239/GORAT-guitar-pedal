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nh22239_bristol_ac_uk/Documents/Documents/GitHub/GORAT-guitar-pedal/GORAT circuit diagram/"/>
    </mc:Choice>
  </mc:AlternateContent>
  <xr:revisionPtr revIDLastSave="34" documentId="8_{67ECA503-9A80-4BD8-9DDB-9788C7FBB0D1}" xr6:coauthVersionLast="47" xr6:coauthVersionMax="47" xr10:uidLastSave="{C119F862-EFB3-4609-A5E5-28BD2724DB6C}"/>
  <bookViews>
    <workbookView xWindow="-96" yWindow="0" windowWidth="11712" windowHeight="12336" xr2:uid="{8130C5E4-2DBF-402B-9F8C-66FE700F5F27}"/>
  </bookViews>
  <sheets>
    <sheet name="GoRAT (version 1)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1" l="1"/>
  <c r="E35" i="1"/>
  <c r="O35" i="1"/>
  <c r="E34" i="1"/>
  <c r="O34" i="1"/>
  <c r="E36" i="1"/>
  <c r="O36" i="1"/>
  <c r="E2" i="1"/>
  <c r="O2" i="1"/>
  <c r="E3" i="1"/>
  <c r="O3" i="1"/>
  <c r="E4" i="1"/>
  <c r="O4" i="1"/>
  <c r="E5" i="1"/>
  <c r="O5" i="1"/>
  <c r="E6" i="1"/>
  <c r="O6" i="1"/>
  <c r="E7" i="1"/>
  <c r="O7" i="1"/>
  <c r="O8" i="1"/>
  <c r="E9" i="1"/>
  <c r="O9" i="1"/>
  <c r="E10" i="1"/>
  <c r="O10" i="1"/>
  <c r="O11" i="1"/>
  <c r="O12" i="1"/>
  <c r="E13" i="1"/>
  <c r="O13" i="1"/>
  <c r="E14" i="1"/>
  <c r="O14" i="1"/>
  <c r="E15" i="1"/>
  <c r="O15" i="1"/>
  <c r="E16" i="1"/>
  <c r="O16" i="1"/>
  <c r="E17" i="1"/>
  <c r="O17" i="1"/>
  <c r="E18" i="1"/>
  <c r="O18" i="1"/>
  <c r="E19" i="1"/>
  <c r="O19" i="1"/>
  <c r="E20" i="1"/>
  <c r="O20" i="1"/>
  <c r="E21" i="1"/>
  <c r="O21" i="1"/>
  <c r="E22" i="1"/>
  <c r="O22" i="1"/>
  <c r="O23" i="1"/>
  <c r="E24" i="1"/>
  <c r="O24" i="1"/>
  <c r="M25" i="1"/>
  <c r="O25" i="1"/>
  <c r="M26" i="1"/>
  <c r="O26" i="1"/>
  <c r="M27" i="1"/>
  <c r="O27" i="1"/>
  <c r="M28" i="1"/>
  <c r="O28" i="1"/>
  <c r="M29" i="1"/>
  <c r="O29" i="1"/>
  <c r="M30" i="1"/>
  <c r="O30" i="1"/>
  <c r="M31" i="1"/>
  <c r="O31" i="1"/>
  <c r="M32" i="1"/>
  <c r="O32" i="1"/>
  <c r="M33" i="1"/>
  <c r="O33" i="1"/>
  <c r="M37" i="1"/>
  <c r="E37" i="1"/>
  <c r="O37" i="1"/>
  <c r="E38" i="1"/>
  <c r="O38" i="1"/>
  <c r="E39" i="1"/>
  <c r="O39" i="1"/>
  <c r="E40" i="1"/>
  <c r="O40" i="1"/>
  <c r="E41" i="1"/>
  <c r="O41" i="1"/>
  <c r="E42" i="1"/>
  <c r="O42" i="1"/>
  <c r="M43" i="1"/>
  <c r="E43" i="1"/>
  <c r="O43" i="1"/>
  <c r="O4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6" i="1"/>
  <c r="N37" i="1"/>
  <c r="N38" i="1"/>
  <c r="N39" i="1"/>
  <c r="N40" i="1"/>
  <c r="N41" i="1"/>
  <c r="N42" i="1"/>
  <c r="N43" i="1"/>
  <c r="N44" i="1"/>
</calcChain>
</file>

<file path=xl/sharedStrings.xml><?xml version="1.0" encoding="utf-8"?>
<sst xmlns="http://schemas.openxmlformats.org/spreadsheetml/2006/main" count="294" uniqueCount="197">
  <si>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</si>
  <si>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</si>
  <si>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</si>
  <si>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</si>
  <si>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</si>
  <si>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</si>
  <si>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</si>
  <si>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</si>
  <si>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Unit Price (inc VAT)</t>
  </si>
  <si>
    <t>Subtotal</t>
  </si>
  <si>
    <t>C1,C9</t>
  </si>
  <si>
    <t>22n</t>
  </si>
  <si>
    <t>Capacitor_THT:C_Disc_D4.7mm_W2.5mm_P5.00mm</t>
  </si>
  <si>
    <t>~</t>
  </si>
  <si>
    <t>C2</t>
  </si>
  <si>
    <t>1n</t>
  </si>
  <si>
    <t>C4</t>
  </si>
  <si>
    <t>100p</t>
  </si>
  <si>
    <t>C5</t>
  </si>
  <si>
    <t>2.2u</t>
  </si>
  <si>
    <t>Capacitor_THT:CP_Radial_D5.0mm_P2.50mm</t>
  </si>
  <si>
    <t>C6,C7</t>
  </si>
  <si>
    <t>4.7u</t>
  </si>
  <si>
    <t>C8</t>
  </si>
  <si>
    <t>3.3n</t>
  </si>
  <si>
    <t>C10,C13,C19</t>
  </si>
  <si>
    <t>1u</t>
  </si>
  <si>
    <t>C11</t>
  </si>
  <si>
    <t>100u</t>
  </si>
  <si>
    <t>C12</t>
  </si>
  <si>
    <t>0.1u</t>
  </si>
  <si>
    <t>C14</t>
  </si>
  <si>
    <t>10u</t>
  </si>
  <si>
    <t>C15</t>
  </si>
  <si>
    <t>22u</t>
  </si>
  <si>
    <t>C16</t>
  </si>
  <si>
    <t>68p</t>
  </si>
  <si>
    <t>C17</t>
  </si>
  <si>
    <t>47p</t>
  </si>
  <si>
    <t>470n</t>
  </si>
  <si>
    <t>C20</t>
  </si>
  <si>
    <t>220n</t>
  </si>
  <si>
    <t>C22</t>
  </si>
  <si>
    <t>33p</t>
  </si>
  <si>
    <t>D1,D2</t>
  </si>
  <si>
    <t>1N914</t>
  </si>
  <si>
    <t>PCM_Diode_THT_AKL:D_DO-35_SOD27_P7.62mm_Horizontal</t>
  </si>
  <si>
    <t>https://datasheet.octopart.com/1N914ATR-ON-Semiconductor-datasheet-42765246.pdf</t>
  </si>
  <si>
    <t>D3</t>
  </si>
  <si>
    <t>1N4002</t>
  </si>
  <si>
    <t>PCM_Diode_THT_AKL:D_DO-41_SOD81_P7.62mm_Horizontal</t>
  </si>
  <si>
    <t>https://www.tme.eu/Document/5f8ffc5ac30fc86bac97d66040bf5502/1n400x.pdf</t>
  </si>
  <si>
    <t>D4,D5,D6</t>
  </si>
  <si>
    <t>Red</t>
  </si>
  <si>
    <t>PCM_SparkFun-LED:LED_5mm_PTH_Red_NoSilk</t>
  </si>
  <si>
    <t>https://cdn.sparkfun.com/assets/e/c/e/c/5/COM-09590-YSL-R531R3D-D2.pdf</t>
  </si>
  <si>
    <t>D7,D8</t>
  </si>
  <si>
    <t>BAT41</t>
  </si>
  <si>
    <t>Diode_THT:D_DO-35_SOD27_P7.62mm_Horizontal</t>
  </si>
  <si>
    <t>http://www.vishay.com/docs/85659/bat41.pdf</t>
  </si>
  <si>
    <t>J1,J2</t>
  </si>
  <si>
    <t>AudioJack2</t>
  </si>
  <si>
    <t>J6</t>
  </si>
  <si>
    <t>Barrel_Jack</t>
  </si>
  <si>
    <t>Q1</t>
  </si>
  <si>
    <t>J111</t>
  </si>
  <si>
    <t>PCM_Package_TO_SOT_THT_AKL:TO-92_Inline_Wide_DSG</t>
  </si>
  <si>
    <t>https://www.tme.eu/Document/2ab8d7a6d6d8a209f9d7deeb52763e9f/J111.pdf</t>
  </si>
  <si>
    <t>R1,R2,R8,R14,R18</t>
  </si>
  <si>
    <t>1M</t>
  </si>
  <si>
    <t>Resistor_THT:R_Axial_DIN0207_L6.3mm_D2.5mm_P10.16mm_Horizontal</t>
  </si>
  <si>
    <t>R3,R6</t>
  </si>
  <si>
    <t>1K</t>
  </si>
  <si>
    <t>R4,R10</t>
  </si>
  <si>
    <t>R5</t>
  </si>
  <si>
    <t>R7</t>
  </si>
  <si>
    <t>1.5K</t>
  </si>
  <si>
    <t>R9</t>
  </si>
  <si>
    <t>10K</t>
  </si>
  <si>
    <t>R11,R12</t>
  </si>
  <si>
    <t>100K</t>
  </si>
  <si>
    <t>R13</t>
  </si>
  <si>
    <t>2.2k</t>
  </si>
  <si>
    <t>R15,R16,R17</t>
  </si>
  <si>
    <t>22k</t>
  </si>
  <si>
    <t>Daves customs:Potentiometer_Alpha_RD901F-40-00D_Single_Vertical</t>
  </si>
  <si>
    <t>RV4-BLEND1</t>
  </si>
  <si>
    <t>Potentiometer_THT:Potentiometer_Alpha_RD902F-40-00D_Dual_Vertical</t>
  </si>
  <si>
    <t>S1</t>
  </si>
  <si>
    <t>SWITCH-3PDT</t>
  </si>
  <si>
    <t>Daves customs:3PDT</t>
  </si>
  <si>
    <t>SW3</t>
  </si>
  <si>
    <t>SW_Rotary4x3</t>
  </si>
  <si>
    <t>Daves customs:RS26</t>
  </si>
  <si>
    <t>http://cdn-reichelt.de/documents/datenblatt/C200/DS-Serie%23LOR.pdf</t>
  </si>
  <si>
    <t>SW8</t>
  </si>
  <si>
    <t>SW_Rotary2x6</t>
  </si>
  <si>
    <t>U1</t>
  </si>
  <si>
    <t>OP07CP</t>
  </si>
  <si>
    <t>PCM_Package_DIP_AKL:DIP-8_W7.62mm_LongPads</t>
  </si>
  <si>
    <t>http://web.mit.edu/6.301/www/LM108.pdf</t>
  </si>
  <si>
    <t>U2,U3</t>
  </si>
  <si>
    <t>TL072ACP</t>
  </si>
  <si>
    <t>https://www.ti.com/lit/ds/symlink/tl072h.pdf?ts=1635057479364</t>
  </si>
  <si>
    <t>1590BBYL</t>
  </si>
  <si>
    <t>IP54 Die Cast Aluminium Instrument Enclosure - 119x94x30mm - Hammond | CPC</t>
  </si>
  <si>
    <t>PPW01004</t>
  </si>
  <si>
    <t>Supplier</t>
  </si>
  <si>
    <t>CPC</t>
  </si>
  <si>
    <t>NYS229</t>
  </si>
  <si>
    <t>Manufacturer No</t>
  </si>
  <si>
    <t>Order code</t>
  </si>
  <si>
    <t>K104K15X7RF53L2</t>
  </si>
  <si>
    <t>CA06802</t>
  </si>
  <si>
    <t>K680J15C0GF53L2</t>
  </si>
  <si>
    <t>CA06821</t>
  </si>
  <si>
    <t>K470J15C0GF53L2</t>
  </si>
  <si>
    <t>CA06814</t>
  </si>
  <si>
    <t>CA06806</t>
  </si>
  <si>
    <t>K330J15C0GF53L2</t>
  </si>
  <si>
    <t>SC08157</t>
  </si>
  <si>
    <t>1N4002G</t>
  </si>
  <si>
    <t>SC17771</t>
  </si>
  <si>
    <t>MP006838</t>
  </si>
  <si>
    <t>SC19413</t>
  </si>
  <si>
    <t>SC07323</t>
  </si>
  <si>
    <t>SC12586</t>
  </si>
  <si>
    <t>MF12 1M</t>
  </si>
  <si>
    <t>RE04070</t>
  </si>
  <si>
    <t>MF50 1K</t>
  </si>
  <si>
    <t>RE05031</t>
  </si>
  <si>
    <t>MF50 47R</t>
  </si>
  <si>
    <t>RE05013</t>
  </si>
  <si>
    <t>MF50 560R</t>
  </si>
  <si>
    <t>RE05027</t>
  </si>
  <si>
    <t>MCF 0.5W 1K5</t>
  </si>
  <si>
    <t>RE04479</t>
  </si>
  <si>
    <t>MF50 10K</t>
  </si>
  <si>
    <t>RE05044</t>
  </si>
  <si>
    <t>MF50 100K</t>
  </si>
  <si>
    <t>RE05057</t>
  </si>
  <si>
    <t>MF50 2K2</t>
  </si>
  <si>
    <t>RE05035</t>
  </si>
  <si>
    <t>MF50 22K</t>
  </si>
  <si>
    <t>RE05048</t>
  </si>
  <si>
    <t>Ebay</t>
  </si>
  <si>
    <t>SC16157</t>
  </si>
  <si>
    <t>TL072CP</t>
  </si>
  <si>
    <t>SC17220</t>
  </si>
  <si>
    <t>50ML2R2MEFC4X5</t>
  </si>
  <si>
    <t>CA07533</t>
  </si>
  <si>
    <t>50MS54R7M0557</t>
  </si>
  <si>
    <t>CA05565</t>
  </si>
  <si>
    <t>25YXJ100M5X11</t>
  </si>
  <si>
    <t>CA09737</t>
  </si>
  <si>
    <t>MCGPR25V106M5X11</t>
  </si>
  <si>
    <t>CA04744</t>
  </si>
  <si>
    <t>MCGPR25V226M5X11</t>
  </si>
  <si>
    <t>CA04745</t>
  </si>
  <si>
    <t>MCGPR50V105M5X11</t>
  </si>
  <si>
    <t>CA04763</t>
  </si>
  <si>
    <t>AV15144</t>
  </si>
  <si>
    <t>Off-board wiring</t>
  </si>
  <si>
    <t>Total</t>
  </si>
  <si>
    <t>PCB</t>
  </si>
  <si>
    <t>JLC PCB</t>
  </si>
  <si>
    <t>K223K15X7RF5UH5</t>
  </si>
  <si>
    <t>CA10734</t>
  </si>
  <si>
    <t>CA06816</t>
  </si>
  <si>
    <t>K102J15C0GF53L2</t>
  </si>
  <si>
    <t>CA06809</t>
  </si>
  <si>
    <t>K101J15C0GF53L2</t>
  </si>
  <si>
    <t>C18, C21</t>
  </si>
  <si>
    <t>CA06812</t>
  </si>
  <si>
    <t>K224K20X7RF53L2</t>
  </si>
  <si>
    <t>MCRR50332X7RK0100</t>
  </si>
  <si>
    <t>CA06300</t>
  </si>
  <si>
    <t>Yellow Enclosure</t>
  </si>
  <si>
    <t>No footprint</t>
  </si>
  <si>
    <t>CA05523</t>
  </si>
  <si>
    <t>MCRR50474Z5UM0050</t>
  </si>
  <si>
    <t>CN26775</t>
  </si>
  <si>
    <t>EN84638</t>
  </si>
  <si>
    <t>SW02748</t>
  </si>
  <si>
    <t>CK1050</t>
  </si>
  <si>
    <t>SW02750</t>
  </si>
  <si>
    <t>CK1052</t>
  </si>
  <si>
    <t>per batch</t>
  </si>
  <si>
    <t>Batch price</t>
  </si>
  <si>
    <t>Thonk</t>
  </si>
  <si>
    <t>RD901F-40-15K-B100K </t>
  </si>
  <si>
    <t>RD901F-40-15K-A100K </t>
  </si>
  <si>
    <t>RV1-GAIN1,RV2-FILTER1</t>
  </si>
  <si>
    <t>RV3-VOL1</t>
  </si>
  <si>
    <t>RD902F-40-15K-B100K </t>
  </si>
  <si>
    <t>B100K</t>
  </si>
  <si>
    <t>A100K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</si>
</sst>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18" fillId="0" borderId="0" xfId="43"/>
    <xf numFmtId="44" fontId="0" fillId="0" borderId="0" xfId="0" applyNumberFormat="1"/>
    <xf numFmtId="0" fontId="16" fillId="0" borderId="0" xfId="0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34" formatCode="_-&quot;£&quot;* #,##0.00_-;\-&quot;£&quot;* #,##0.0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1D06B-B8F9-4BA1-B7D5-DDA40F97CF4A}" name="Table1" displayName="Table1" ref="A1:O44" totalsRowShown="0">
  <autoFilter ref="A1:O44" xr:uid="{79B1D06B-B8F9-4BA1-B7D5-DDA40F97CF4A}"/>
  <tableColumns count="15">
    <tableColumn id="1" xr3:uid="{03C09392-8DC3-417F-9D54-AFE7BDC60DD3}" name="Reference"/>
    <tableColumn id="3" xr3:uid="{F87B4254-5AD6-4E31-8036-825B6EA8E78D}" name="Value"/>
    <tableColumn id="4" xr3:uid="{867C2E55-257F-4EAF-9BE0-294AA08C0113}" name="Manufacturer No"/>
    <tableColumn id="2" xr3:uid="{22DF5F8F-DC7C-4A63-A8CC-C19708837BCA}" name="Qty"/>
    <tableColumn id="14" xr3:uid="{8BA91B2F-2310-484C-836D-08F8F3684394}" name="per batch" dataDxfId="3">
      <calculatedColumnFormula>5*Table1[[#This Row],[Qty]]</calculatedColumnFormula>
    </tableColumn>
    <tableColumn id="6" xr3:uid="{05DCDA83-DD39-464E-A2FD-D6A4D420B02F}" name="DNP"/>
    <tableColumn id="7" xr3:uid="{4C909616-E875-4019-9B84-C0F42DB53958}" name="Exclude from BOM"/>
    <tableColumn id="9" xr3:uid="{3B1E4611-94D6-43B9-ADCB-61C2A7F063D1}" name="Exclude from Board"/>
    <tableColumn id="10" xr3:uid="{4F8CC7E7-DE1D-47F6-B105-750B92EBDB2E}" name="Footprint"/>
    <tableColumn id="8" xr3:uid="{B6BCA141-08BC-42E7-B26F-D311B276E998}" name="Supplier"/>
    <tableColumn id="5" xr3:uid="{969EC7FB-28A7-4C64-A63E-E499926F5D9E}" name="Order code"/>
    <tableColumn id="11" xr3:uid="{5222A3E2-B051-48F4-813D-9FDE00D7EBD0}" name="Datasheet"/>
    <tableColumn id="12" xr3:uid="{F98F75B6-6768-4871-8758-D4EC2414F02D}" name="Unit Price (inc VAT)" dataDxfId="2" dataCellStyle="Currency"/>
    <tableColumn id="13" xr3:uid="{513583C7-E64A-497E-A4BC-1B58622E192C}" name="Subtotal" dataDxfId="1" dataCellStyle="Currency"/>
    <tableColumn id="15" xr3:uid="{AA6EC427-FD8C-4298-B8FE-4FA3FBDFE79D}" name="Batch price" dataDxfId="0">
      <calculatedColumnFormula>Table1[[#This Row],[Unit Price (inc VAT)]]*Table1[[#This Row],[per batch]]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447F-879A-4C88-BD66-8008494BF826}">
  <dimension ref="A1:O44"/>
  <sheetViews>
    <sheetView tabSelected="1" topLeftCell="A13" workbookViewId="0">
      <selection activeCell="A24" sqref="A24:XFD24"/>
    </sheetView>
  </sheetViews>
  <sheetFormatPr defaultRowHeight="14.4" x14ac:dyDescent="0.3"/>
  <cols>
    <col min="1" max="1" width="21.21875" customWidth="1"/>
    <col min="2" max="2" width="18.33203125" customWidth="1"/>
    <col min="3" max="3" width="19.21875" customWidth="1"/>
    <col min="4" max="4" width="4.21875" customWidth="1"/>
    <col min="5" max="5" width="15.44140625" customWidth="1"/>
    <col min="6" max="6" width="2.88671875" customWidth="1"/>
    <col min="7" max="7" width="2.109375" customWidth="1"/>
    <col min="8" max="8" width="2.88671875" customWidth="1"/>
    <col min="9" max="9" width="20.77734375" customWidth="1"/>
    <col min="10" max="10" width="8.5546875" customWidth="1"/>
    <col min="11" max="11" width="17.109375" customWidth="1"/>
    <col min="13" max="13" width="7.77734375" customWidth="1"/>
    <col min="14" max="14" width="19.44140625" customWidth="1"/>
    <col min="15" max="15" width="17.33203125" customWidth="1"/>
    <col min="16" max="16" width="11.5546875" customWidth="1"/>
    <col min="17" max="17" width="19.21875" customWidth="1"/>
    <col min="18" max="18" width="11.44140625" customWidth="1"/>
  </cols>
  <sheetData>
    <row r="1" spans="1:15" x14ac:dyDescent="0.3">
      <c r="A1" t="s">
        <v>0</v>
      </c>
      <c r="B1" t="s">
        <v>2</v>
      </c>
      <c r="C1" t="s">
        <v>110</v>
      </c>
      <c r="D1" t="s">
        <v>1</v>
      </c>
      <c r="E1" t="s">
        <v>187</v>
      </c>
      <c r="F1" t="s">
        <v>3</v>
      </c>
      <c r="G1" t="s">
        <v>4</v>
      </c>
      <c r="H1" t="s">
        <v>5</v>
      </c>
      <c r="I1" t="s">
        <v>6</v>
      </c>
      <c r="J1" t="s">
        <v>107</v>
      </c>
      <c r="K1" t="s">
        <v>111</v>
      </c>
      <c r="L1" t="s">
        <v>7</v>
      </c>
      <c r="M1" t="s">
        <v>8</v>
      </c>
      <c r="N1" t="s">
        <v>9</v>
      </c>
      <c r="O1" t="s">
        <v>188</v>
      </c>
    </row>
    <row r="2" spans="1:15" x14ac:dyDescent="0.3">
      <c r="A2" t="s">
        <v>10</v>
      </c>
      <c r="B2" t="s">
        <v>11</v>
      </c>
      <c r="C2" t="s">
        <v>166</v>
      </c>
      <c r="D2">
        <v>2</v>
      </c>
      <c r="E2">
        <f>5*Table1[[#This Row],[Qty]]</f>
        <v>10</v>
      </c>
      <c r="I2" t="s">
        <v>12</v>
      </c>
      <c r="J2" t="s">
        <v>108</v>
      </c>
      <c r="K2" t="s">
        <v>167</v>
      </c>
      <c r="L2" t="s">
        <v>13</v>
      </c>
      <c r="M2" s="1">
        <v>0.08</v>
      </c>
      <c r="N2" s="1">
        <f t="shared" ref="N2:N43" si="0">D2*M2</f>
        <v>0.16</v>
      </c>
      <c r="O2" s="3">
        <f>Table1[[#This Row],[Unit Price (inc VAT)]]*Table1[[#This Row],[per batch]]</f>
        <v>0.8</v>
      </c>
    </row>
    <row r="3" spans="1:15" x14ac:dyDescent="0.3">
      <c r="A3" t="s">
        <v>14</v>
      </c>
      <c r="B3" t="s">
        <v>15</v>
      </c>
      <c r="C3" t="s">
        <v>169</v>
      </c>
      <c r="D3">
        <v>1</v>
      </c>
      <c r="E3">
        <f>5*Table1[[#This Row],[Qty]]</f>
        <v>5</v>
      </c>
      <c r="I3" t="s">
        <v>12</v>
      </c>
      <c r="J3" t="s">
        <v>108</v>
      </c>
      <c r="K3" t="s">
        <v>168</v>
      </c>
      <c r="L3" t="s">
        <v>13</v>
      </c>
      <c r="M3" s="1">
        <v>0.1</v>
      </c>
      <c r="N3" s="1">
        <f t="shared" si="0"/>
        <v>0.1</v>
      </c>
      <c r="O3" s="3">
        <f>Table1[[#This Row],[Unit Price (inc VAT)]]*Table1[[#This Row],[per batch]]</f>
        <v>0.5</v>
      </c>
    </row>
    <row r="4" spans="1:15" x14ac:dyDescent="0.3">
      <c r="A4" t="s">
        <v>16</v>
      </c>
      <c r="B4" t="s">
        <v>17</v>
      </c>
      <c r="C4" t="s">
        <v>171</v>
      </c>
      <c r="D4">
        <v>1</v>
      </c>
      <c r="E4">
        <f>5*Table1[[#This Row],[Qty]]</f>
        <v>5</v>
      </c>
      <c r="I4" t="s">
        <v>12</v>
      </c>
      <c r="J4" t="s">
        <v>108</v>
      </c>
      <c r="K4" t="s">
        <v>170</v>
      </c>
      <c r="L4" t="s">
        <v>13</v>
      </c>
      <c r="M4" s="1">
        <v>0.06</v>
      </c>
      <c r="N4" s="1">
        <f t="shared" si="0"/>
        <v>0.06</v>
      </c>
      <c r="O4" s="3">
        <f>Table1[[#This Row],[Unit Price (inc VAT)]]*Table1[[#This Row],[per batch]]</f>
        <v>0.3</v>
      </c>
    </row>
    <row r="5" spans="1:15" x14ac:dyDescent="0.3">
      <c r="A5" t="s">
        <v>18</v>
      </c>
      <c r="B5" t="s">
        <v>19</v>
      </c>
      <c r="C5" t="s">
        <v>149</v>
      </c>
      <c r="D5">
        <v>1</v>
      </c>
      <c r="E5">
        <f>5*Table1[[#This Row],[Qty]]</f>
        <v>5</v>
      </c>
      <c r="I5" t="s">
        <v>20</v>
      </c>
      <c r="J5" t="s">
        <v>108</v>
      </c>
      <c r="K5" t="s">
        <v>150</v>
      </c>
      <c r="L5" t="s">
        <v>13</v>
      </c>
      <c r="M5" s="1">
        <v>0.26</v>
      </c>
      <c r="N5" s="1">
        <f t="shared" si="0"/>
        <v>0.26</v>
      </c>
      <c r="O5" s="3">
        <f>Table1[[#This Row],[Unit Price (inc VAT)]]*Table1[[#This Row],[per batch]]</f>
        <v>1.3</v>
      </c>
    </row>
    <row r="6" spans="1:15" x14ac:dyDescent="0.3">
      <c r="A6" t="s">
        <v>21</v>
      </c>
      <c r="B6" t="s">
        <v>22</v>
      </c>
      <c r="C6" t="s">
        <v>151</v>
      </c>
      <c r="D6">
        <v>2</v>
      </c>
      <c r="E6">
        <f>5*Table1[[#This Row],[Qty]]</f>
        <v>10</v>
      </c>
      <c r="I6" t="s">
        <v>20</v>
      </c>
      <c r="J6" t="s">
        <v>108</v>
      </c>
      <c r="K6" t="s">
        <v>152</v>
      </c>
      <c r="L6" t="s">
        <v>13</v>
      </c>
      <c r="M6" s="1">
        <v>0.18</v>
      </c>
      <c r="N6" s="1">
        <f t="shared" si="0"/>
        <v>0.36</v>
      </c>
      <c r="O6" s="3">
        <f>Table1[[#This Row],[Unit Price (inc VAT)]]*Table1[[#This Row],[per batch]]</f>
        <v>1.7999999999999998</v>
      </c>
    </row>
    <row r="7" spans="1:15" x14ac:dyDescent="0.3">
      <c r="A7" t="s">
        <v>23</v>
      </c>
      <c r="B7" t="s">
        <v>24</v>
      </c>
      <c r="C7" t="s">
        <v>175</v>
      </c>
      <c r="D7">
        <v>1</v>
      </c>
      <c r="E7">
        <f>5*Table1[[#This Row],[Qty]]</f>
        <v>5</v>
      </c>
      <c r="I7" t="s">
        <v>12</v>
      </c>
      <c r="J7" t="s">
        <v>108</v>
      </c>
      <c r="K7" t="s">
        <v>176</v>
      </c>
      <c r="L7" t="s">
        <v>13</v>
      </c>
      <c r="M7" s="1">
        <v>0.16</v>
      </c>
      <c r="N7" s="1">
        <f t="shared" si="0"/>
        <v>0.16</v>
      </c>
      <c r="O7" s="3">
        <f>Table1[[#This Row],[Unit Price (inc VAT)]]*Table1[[#This Row],[per batch]]</f>
        <v>0.8</v>
      </c>
    </row>
    <row r="8" spans="1:15" x14ac:dyDescent="0.3">
      <c r="A8" t="s">
        <v>25</v>
      </c>
      <c r="B8" t="s">
        <v>26</v>
      </c>
      <c r="C8" t="s">
        <v>159</v>
      </c>
      <c r="D8">
        <v>3</v>
      </c>
      <c r="E8">
        <v>1</v>
      </c>
      <c r="I8" t="s">
        <v>20</v>
      </c>
      <c r="J8" t="s">
        <v>108</v>
      </c>
      <c r="K8" t="s">
        <v>160</v>
      </c>
      <c r="L8" t="s">
        <v>13</v>
      </c>
      <c r="M8" s="1">
        <v>0.25</v>
      </c>
      <c r="N8" s="1">
        <f t="shared" si="0"/>
        <v>0.75</v>
      </c>
      <c r="O8" s="3">
        <f>Table1[[#This Row],[Unit Price (inc VAT)]]*Table1[[#This Row],[per batch]]</f>
        <v>0.25</v>
      </c>
    </row>
    <row r="9" spans="1:15" x14ac:dyDescent="0.3">
      <c r="A9" t="s">
        <v>27</v>
      </c>
      <c r="B9" t="s">
        <v>28</v>
      </c>
      <c r="C9" t="s">
        <v>153</v>
      </c>
      <c r="D9">
        <v>1</v>
      </c>
      <c r="E9">
        <f>5*Table1[[#This Row],[Qty]]</f>
        <v>5</v>
      </c>
      <c r="I9" t="s">
        <v>20</v>
      </c>
      <c r="J9" t="s">
        <v>108</v>
      </c>
      <c r="K9" t="s">
        <v>154</v>
      </c>
      <c r="L9" t="s">
        <v>13</v>
      </c>
      <c r="M9" s="1">
        <v>0.11</v>
      </c>
      <c r="N9" s="1">
        <f t="shared" si="0"/>
        <v>0.11</v>
      </c>
      <c r="O9" s="3">
        <f>Table1[[#This Row],[Unit Price (inc VAT)]]*Table1[[#This Row],[per batch]]</f>
        <v>0.55000000000000004</v>
      </c>
    </row>
    <row r="10" spans="1:15" x14ac:dyDescent="0.3">
      <c r="A10" t="s">
        <v>29</v>
      </c>
      <c r="B10" t="s">
        <v>30</v>
      </c>
      <c r="C10" t="s">
        <v>112</v>
      </c>
      <c r="D10">
        <v>1</v>
      </c>
      <c r="E10">
        <f>5*Table1[[#This Row],[Qty]]</f>
        <v>5</v>
      </c>
      <c r="I10" t="s">
        <v>12</v>
      </c>
      <c r="J10" t="s">
        <v>108</v>
      </c>
      <c r="K10" t="s">
        <v>113</v>
      </c>
      <c r="L10" t="s">
        <v>13</v>
      </c>
      <c r="M10" s="1">
        <v>0.12</v>
      </c>
      <c r="N10" s="1">
        <f t="shared" si="0"/>
        <v>0.12</v>
      </c>
      <c r="O10" s="3">
        <f>Table1[[#This Row],[Unit Price (inc VAT)]]*Table1[[#This Row],[per batch]]</f>
        <v>0.6</v>
      </c>
    </row>
    <row r="11" spans="1:15" x14ac:dyDescent="0.3">
      <c r="A11" t="s">
        <v>31</v>
      </c>
      <c r="B11" t="s">
        <v>32</v>
      </c>
      <c r="C11" t="s">
        <v>155</v>
      </c>
      <c r="D11">
        <v>1</v>
      </c>
      <c r="E11">
        <v>1</v>
      </c>
      <c r="I11" t="s">
        <v>20</v>
      </c>
      <c r="J11" t="s">
        <v>108</v>
      </c>
      <c r="K11" t="s">
        <v>156</v>
      </c>
      <c r="L11" t="s">
        <v>13</v>
      </c>
      <c r="M11" s="1">
        <v>0.28000000000000003</v>
      </c>
      <c r="N11" s="1">
        <f t="shared" si="0"/>
        <v>0.28000000000000003</v>
      </c>
      <c r="O11" s="3">
        <f>Table1[[#This Row],[Unit Price (inc VAT)]]*Table1[[#This Row],[per batch]]</f>
        <v>0.28000000000000003</v>
      </c>
    </row>
    <row r="12" spans="1:15" x14ac:dyDescent="0.3">
      <c r="A12" t="s">
        <v>33</v>
      </c>
      <c r="B12" t="s">
        <v>34</v>
      </c>
      <c r="C12" t="s">
        <v>157</v>
      </c>
      <c r="D12">
        <v>1</v>
      </c>
      <c r="E12">
        <v>1</v>
      </c>
      <c r="I12" t="s">
        <v>20</v>
      </c>
      <c r="J12" t="s">
        <v>108</v>
      </c>
      <c r="K12" t="s">
        <v>158</v>
      </c>
      <c r="L12" t="s">
        <v>13</v>
      </c>
      <c r="M12" s="1">
        <v>0.28999999999999998</v>
      </c>
      <c r="N12" s="1">
        <f t="shared" si="0"/>
        <v>0.28999999999999998</v>
      </c>
      <c r="O12" s="3">
        <f>Table1[[#This Row],[Unit Price (inc VAT)]]*Table1[[#This Row],[per batch]]</f>
        <v>0.28999999999999998</v>
      </c>
    </row>
    <row r="13" spans="1:15" x14ac:dyDescent="0.3">
      <c r="A13" t="s">
        <v>35</v>
      </c>
      <c r="B13" t="s">
        <v>36</v>
      </c>
      <c r="C13" t="s">
        <v>114</v>
      </c>
      <c r="D13">
        <v>1</v>
      </c>
      <c r="E13">
        <f>5*Table1[[#This Row],[Qty]]</f>
        <v>5</v>
      </c>
      <c r="I13" t="s">
        <v>12</v>
      </c>
      <c r="J13" t="s">
        <v>108</v>
      </c>
      <c r="K13" t="s">
        <v>115</v>
      </c>
      <c r="L13" t="s">
        <v>13</v>
      </c>
      <c r="M13" s="1">
        <v>0.16</v>
      </c>
      <c r="N13" s="1">
        <f t="shared" si="0"/>
        <v>0.16</v>
      </c>
      <c r="O13" s="3">
        <f>Table1[[#This Row],[Unit Price (inc VAT)]]*Table1[[#This Row],[per batch]]</f>
        <v>0.8</v>
      </c>
    </row>
    <row r="14" spans="1:15" x14ac:dyDescent="0.3">
      <c r="A14" t="s">
        <v>37</v>
      </c>
      <c r="B14" t="s">
        <v>38</v>
      </c>
      <c r="C14" t="s">
        <v>116</v>
      </c>
      <c r="D14">
        <v>1</v>
      </c>
      <c r="E14">
        <f>5*Table1[[#This Row],[Qty]]</f>
        <v>5</v>
      </c>
      <c r="I14" t="s">
        <v>12</v>
      </c>
      <c r="J14" t="s">
        <v>108</v>
      </c>
      <c r="K14" t="s">
        <v>117</v>
      </c>
      <c r="L14" t="s">
        <v>13</v>
      </c>
      <c r="M14" s="1">
        <v>0.17</v>
      </c>
      <c r="N14" s="1">
        <f t="shared" si="0"/>
        <v>0.17</v>
      </c>
      <c r="O14" s="3">
        <f>Table1[[#This Row],[Unit Price (inc VAT)]]*Table1[[#This Row],[per batch]]</f>
        <v>0.85000000000000009</v>
      </c>
    </row>
    <row r="15" spans="1:15" x14ac:dyDescent="0.3">
      <c r="A15" t="s">
        <v>172</v>
      </c>
      <c r="B15" t="s">
        <v>39</v>
      </c>
      <c r="C15" t="s">
        <v>180</v>
      </c>
      <c r="D15">
        <v>2</v>
      </c>
      <c r="E15">
        <f>5*Table1[[#This Row],[Qty]]</f>
        <v>10</v>
      </c>
      <c r="I15" t="s">
        <v>12</v>
      </c>
      <c r="J15" t="s">
        <v>108</v>
      </c>
      <c r="K15" s="4" t="s">
        <v>179</v>
      </c>
      <c r="L15" t="s">
        <v>13</v>
      </c>
      <c r="M15" s="1">
        <v>0.5</v>
      </c>
      <c r="N15" s="1">
        <f t="shared" si="0"/>
        <v>1</v>
      </c>
      <c r="O15" s="3">
        <f>Table1[[#This Row],[Unit Price (inc VAT)]]*Table1[[#This Row],[per batch]]</f>
        <v>5</v>
      </c>
    </row>
    <row r="16" spans="1:15" x14ac:dyDescent="0.3">
      <c r="A16" t="s">
        <v>40</v>
      </c>
      <c r="B16" t="s">
        <v>41</v>
      </c>
      <c r="C16" t="s">
        <v>174</v>
      </c>
      <c r="D16">
        <v>1</v>
      </c>
      <c r="E16">
        <f>5*Table1[[#This Row],[Qty]]</f>
        <v>5</v>
      </c>
      <c r="I16" t="s">
        <v>12</v>
      </c>
      <c r="J16" t="s">
        <v>108</v>
      </c>
      <c r="K16" t="s">
        <v>173</v>
      </c>
      <c r="L16" t="s">
        <v>13</v>
      </c>
      <c r="M16" s="1">
        <v>0.42</v>
      </c>
      <c r="N16" s="1">
        <f t="shared" si="0"/>
        <v>0.42</v>
      </c>
      <c r="O16" s="3">
        <f>Table1[[#This Row],[Unit Price (inc VAT)]]*Table1[[#This Row],[per batch]]</f>
        <v>2.1</v>
      </c>
    </row>
    <row r="17" spans="1:15" x14ac:dyDescent="0.3">
      <c r="A17" t="s">
        <v>42</v>
      </c>
      <c r="B17" t="s">
        <v>43</v>
      </c>
      <c r="C17" t="s">
        <v>119</v>
      </c>
      <c r="D17">
        <v>1</v>
      </c>
      <c r="E17">
        <f>5*Table1[[#This Row],[Qty]]</f>
        <v>5</v>
      </c>
      <c r="I17" t="s">
        <v>12</v>
      </c>
      <c r="J17" t="s">
        <v>108</v>
      </c>
      <c r="K17" t="s">
        <v>118</v>
      </c>
      <c r="L17" t="s">
        <v>13</v>
      </c>
      <c r="M17" s="1">
        <v>0.38</v>
      </c>
      <c r="N17" s="1">
        <f t="shared" si="0"/>
        <v>0.38</v>
      </c>
      <c r="O17" s="3">
        <f>Table1[[#This Row],[Unit Price (inc VAT)]]*Table1[[#This Row],[per batch]]</f>
        <v>1.9</v>
      </c>
    </row>
    <row r="18" spans="1:15" x14ac:dyDescent="0.3">
      <c r="A18" t="s">
        <v>44</v>
      </c>
      <c r="B18" t="s">
        <v>45</v>
      </c>
      <c r="C18" t="s">
        <v>45</v>
      </c>
      <c r="D18">
        <v>2</v>
      </c>
      <c r="E18">
        <f>5*Table1[[#This Row],[Qty]]</f>
        <v>10</v>
      </c>
      <c r="I18" t="s">
        <v>46</v>
      </c>
      <c r="J18" t="s">
        <v>108</v>
      </c>
      <c r="K18" t="s">
        <v>120</v>
      </c>
      <c r="L18" t="s">
        <v>47</v>
      </c>
      <c r="M18" s="1">
        <v>0.04</v>
      </c>
      <c r="N18" s="1">
        <f t="shared" si="0"/>
        <v>0.08</v>
      </c>
      <c r="O18" s="3">
        <f>Table1[[#This Row],[Unit Price (inc VAT)]]*Table1[[#This Row],[per batch]]</f>
        <v>0.4</v>
      </c>
    </row>
    <row r="19" spans="1:15" x14ac:dyDescent="0.3">
      <c r="A19" t="s">
        <v>48</v>
      </c>
      <c r="B19" t="s">
        <v>49</v>
      </c>
      <c r="C19" t="s">
        <v>121</v>
      </c>
      <c r="D19">
        <v>1</v>
      </c>
      <c r="E19">
        <f>5*Table1[[#This Row],[Qty]]</f>
        <v>5</v>
      </c>
      <c r="I19" t="s">
        <v>50</v>
      </c>
      <c r="J19" t="s">
        <v>108</v>
      </c>
      <c r="K19" t="s">
        <v>122</v>
      </c>
      <c r="L19" t="s">
        <v>51</v>
      </c>
      <c r="M19" s="1">
        <v>0.06</v>
      </c>
      <c r="N19" s="1">
        <f t="shared" si="0"/>
        <v>0.06</v>
      </c>
      <c r="O19" s="3">
        <f>Table1[[#This Row],[Unit Price (inc VAT)]]*Table1[[#This Row],[per batch]]</f>
        <v>0.3</v>
      </c>
    </row>
    <row r="20" spans="1:15" x14ac:dyDescent="0.3">
      <c r="A20" t="s">
        <v>52</v>
      </c>
      <c r="B20" t="s">
        <v>53</v>
      </c>
      <c r="C20" t="s">
        <v>123</v>
      </c>
      <c r="D20">
        <v>3</v>
      </c>
      <c r="E20">
        <f>5*Table1[[#This Row],[Qty]]</f>
        <v>15</v>
      </c>
      <c r="I20" t="s">
        <v>54</v>
      </c>
      <c r="J20" t="s">
        <v>108</v>
      </c>
      <c r="K20" t="s">
        <v>124</v>
      </c>
      <c r="L20" t="s">
        <v>55</v>
      </c>
      <c r="M20" s="1">
        <v>7.0000000000000007E-2</v>
      </c>
      <c r="N20" s="1">
        <f t="shared" si="0"/>
        <v>0.21000000000000002</v>
      </c>
      <c r="O20" s="3">
        <f>Table1[[#This Row],[Unit Price (inc VAT)]]*Table1[[#This Row],[per batch]]</f>
        <v>1.05</v>
      </c>
    </row>
    <row r="21" spans="1:15" x14ac:dyDescent="0.3">
      <c r="A21" t="s">
        <v>56</v>
      </c>
      <c r="B21" t="s">
        <v>57</v>
      </c>
      <c r="C21" t="s">
        <v>57</v>
      </c>
      <c r="D21">
        <v>2</v>
      </c>
      <c r="E21">
        <f>5*Table1[[#This Row],[Qty]]</f>
        <v>10</v>
      </c>
      <c r="I21" t="s">
        <v>58</v>
      </c>
      <c r="J21" t="s">
        <v>108</v>
      </c>
      <c r="K21" t="s">
        <v>125</v>
      </c>
      <c r="L21" t="s">
        <v>59</v>
      </c>
      <c r="M21" s="1">
        <v>0.26</v>
      </c>
      <c r="N21" s="1">
        <f t="shared" si="0"/>
        <v>0.52</v>
      </c>
      <c r="O21" s="3">
        <f>Table1[[#This Row],[Unit Price (inc VAT)]]*Table1[[#This Row],[per batch]]</f>
        <v>2.6</v>
      </c>
    </row>
    <row r="22" spans="1:15" x14ac:dyDescent="0.3">
      <c r="A22" t="s">
        <v>60</v>
      </c>
      <c r="B22" t="s">
        <v>61</v>
      </c>
      <c r="C22" t="s">
        <v>109</v>
      </c>
      <c r="D22">
        <v>2</v>
      </c>
      <c r="E22">
        <f>5*Table1[[#This Row],[Qty]]</f>
        <v>10</v>
      </c>
      <c r="F22" s="2"/>
      <c r="G22" s="1"/>
      <c r="I22" t="s">
        <v>162</v>
      </c>
      <c r="J22" t="s">
        <v>108</v>
      </c>
      <c r="K22" t="s">
        <v>181</v>
      </c>
      <c r="L22" t="s">
        <v>13</v>
      </c>
      <c r="M22" s="1">
        <v>0.75</v>
      </c>
      <c r="N22" s="1">
        <f t="shared" si="0"/>
        <v>1.5</v>
      </c>
      <c r="O22" s="3">
        <f>Table1[[#This Row],[Unit Price (inc VAT)]]*Table1[[#This Row],[per batch]]</f>
        <v>7.5</v>
      </c>
    </row>
    <row r="23" spans="1:15" x14ac:dyDescent="0.3">
      <c r="A23" t="s">
        <v>62</v>
      </c>
      <c r="B23" t="s">
        <v>63</v>
      </c>
      <c r="C23" t="s">
        <v>106</v>
      </c>
      <c r="D23">
        <v>1</v>
      </c>
      <c r="E23">
        <v>3</v>
      </c>
      <c r="I23" t="s">
        <v>162</v>
      </c>
      <c r="J23" t="s">
        <v>108</v>
      </c>
      <c r="K23" t="s">
        <v>161</v>
      </c>
      <c r="L23" t="s">
        <v>13</v>
      </c>
      <c r="M23" s="1">
        <v>0.71</v>
      </c>
      <c r="N23" s="1">
        <f t="shared" si="0"/>
        <v>0.71</v>
      </c>
      <c r="O23" s="3">
        <f>Table1[[#This Row],[Unit Price (inc VAT)]]*Table1[[#This Row],[per batch]]</f>
        <v>2.13</v>
      </c>
    </row>
    <row r="24" spans="1:15" x14ac:dyDescent="0.3">
      <c r="A24" t="s">
        <v>64</v>
      </c>
      <c r="B24" t="s">
        <v>65</v>
      </c>
      <c r="C24" t="s">
        <v>65</v>
      </c>
      <c r="D24">
        <v>1</v>
      </c>
      <c r="E24">
        <f>5*Table1[[#This Row],[Qty]]</f>
        <v>5</v>
      </c>
      <c r="I24" t="s">
        <v>66</v>
      </c>
      <c r="J24" t="s">
        <v>108</v>
      </c>
      <c r="K24" t="s">
        <v>126</v>
      </c>
      <c r="L24" t="s">
        <v>67</v>
      </c>
      <c r="M24" s="1">
        <v>0.25</v>
      </c>
      <c r="N24" s="1">
        <f t="shared" si="0"/>
        <v>0.25</v>
      </c>
      <c r="O24" s="3">
        <f>Table1[[#This Row],[Unit Price (inc VAT)]]*Table1[[#This Row],[per batch]]</f>
        <v>1.25</v>
      </c>
    </row>
    <row r="25" spans="1:15" x14ac:dyDescent="0.3">
      <c r="A25" t="s">
        <v>68</v>
      </c>
      <c r="B25" t="s">
        <v>69</v>
      </c>
      <c r="C25" t="s">
        <v>127</v>
      </c>
      <c r="D25">
        <v>5</v>
      </c>
      <c r="E25">
        <v>1</v>
      </c>
      <c r="I25" t="s">
        <v>70</v>
      </c>
      <c r="J25" t="s">
        <v>108</v>
      </c>
      <c r="K25" t="s">
        <v>128</v>
      </c>
      <c r="L25" t="s">
        <v>13</v>
      </c>
      <c r="M25" s="1">
        <f>1.36/50</f>
        <v>2.7200000000000002E-2</v>
      </c>
      <c r="N25" s="1">
        <f t="shared" si="0"/>
        <v>0.13600000000000001</v>
      </c>
      <c r="O25" s="3">
        <f>Table1[[#This Row],[Unit Price (inc VAT)]]*Table1[[#This Row],[per batch]]</f>
        <v>2.7200000000000002E-2</v>
      </c>
    </row>
    <row r="26" spans="1:15" x14ac:dyDescent="0.3">
      <c r="A26" t="s">
        <v>71</v>
      </c>
      <c r="B26" t="s">
        <v>72</v>
      </c>
      <c r="C26" t="s">
        <v>129</v>
      </c>
      <c r="D26">
        <v>2</v>
      </c>
      <c r="E26">
        <v>1</v>
      </c>
      <c r="I26" t="s">
        <v>70</v>
      </c>
      <c r="J26" t="s">
        <v>108</v>
      </c>
      <c r="K26" t="s">
        <v>130</v>
      </c>
      <c r="L26" t="s">
        <v>13</v>
      </c>
      <c r="M26" s="1">
        <f>2.47/50</f>
        <v>4.9400000000000006E-2</v>
      </c>
      <c r="N26" s="1">
        <f t="shared" si="0"/>
        <v>9.8800000000000013E-2</v>
      </c>
      <c r="O26" s="3">
        <f>Table1[[#This Row],[Unit Price (inc VAT)]]*Table1[[#This Row],[per batch]]</f>
        <v>4.9400000000000006E-2</v>
      </c>
    </row>
    <row r="27" spans="1:15" x14ac:dyDescent="0.3">
      <c r="A27" t="s">
        <v>73</v>
      </c>
      <c r="B27">
        <v>47</v>
      </c>
      <c r="C27" t="s">
        <v>131</v>
      </c>
      <c r="D27">
        <v>2</v>
      </c>
      <c r="E27">
        <v>1</v>
      </c>
      <c r="I27" t="s">
        <v>70</v>
      </c>
      <c r="J27" t="s">
        <v>108</v>
      </c>
      <c r="K27" t="s">
        <v>132</v>
      </c>
      <c r="L27" t="s">
        <v>13</v>
      </c>
      <c r="M27" s="1">
        <f>1.98/50</f>
        <v>3.9599999999999996E-2</v>
      </c>
      <c r="N27" s="1">
        <f t="shared" si="0"/>
        <v>7.9199999999999993E-2</v>
      </c>
      <c r="O27" s="3">
        <f>Table1[[#This Row],[Unit Price (inc VAT)]]*Table1[[#This Row],[per batch]]</f>
        <v>3.9599999999999996E-2</v>
      </c>
    </row>
    <row r="28" spans="1:15" x14ac:dyDescent="0.3">
      <c r="A28" t="s">
        <v>74</v>
      </c>
      <c r="B28">
        <v>560</v>
      </c>
      <c r="C28" t="s">
        <v>133</v>
      </c>
      <c r="D28">
        <v>1</v>
      </c>
      <c r="E28">
        <v>1</v>
      </c>
      <c r="I28" t="s">
        <v>70</v>
      </c>
      <c r="J28" t="s">
        <v>108</v>
      </c>
      <c r="K28" t="s">
        <v>134</v>
      </c>
      <c r="L28" t="s">
        <v>13</v>
      </c>
      <c r="M28" s="1">
        <f>1.98/50</f>
        <v>3.9599999999999996E-2</v>
      </c>
      <c r="N28" s="1">
        <f t="shared" si="0"/>
        <v>3.9599999999999996E-2</v>
      </c>
      <c r="O28" s="3">
        <f>Table1[[#This Row],[Unit Price (inc VAT)]]*Table1[[#This Row],[per batch]]</f>
        <v>3.9599999999999996E-2</v>
      </c>
    </row>
    <row r="29" spans="1:15" x14ac:dyDescent="0.3">
      <c r="A29" t="s">
        <v>75</v>
      </c>
      <c r="B29" t="s">
        <v>76</v>
      </c>
      <c r="C29" t="s">
        <v>135</v>
      </c>
      <c r="D29">
        <v>1</v>
      </c>
      <c r="E29">
        <v>1</v>
      </c>
      <c r="I29" t="s">
        <v>70</v>
      </c>
      <c r="J29" t="s">
        <v>108</v>
      </c>
      <c r="K29" t="s">
        <v>136</v>
      </c>
      <c r="L29" t="s">
        <v>13</v>
      </c>
      <c r="M29" s="1">
        <f>2.84/100</f>
        <v>2.8399999999999998E-2</v>
      </c>
      <c r="N29" s="1">
        <f t="shared" si="0"/>
        <v>2.8399999999999998E-2</v>
      </c>
      <c r="O29" s="3">
        <f>Table1[[#This Row],[Unit Price (inc VAT)]]*Table1[[#This Row],[per batch]]</f>
        <v>2.8399999999999998E-2</v>
      </c>
    </row>
    <row r="30" spans="1:15" x14ac:dyDescent="0.3">
      <c r="A30" t="s">
        <v>77</v>
      </c>
      <c r="B30" t="s">
        <v>78</v>
      </c>
      <c r="C30" t="s">
        <v>137</v>
      </c>
      <c r="D30">
        <v>1</v>
      </c>
      <c r="E30">
        <v>1</v>
      </c>
      <c r="I30" t="s">
        <v>70</v>
      </c>
      <c r="J30" t="s">
        <v>108</v>
      </c>
      <c r="K30" t="s">
        <v>138</v>
      </c>
      <c r="L30" t="s">
        <v>13</v>
      </c>
      <c r="M30" s="1">
        <f>2.44/100</f>
        <v>2.4399999999999998E-2</v>
      </c>
      <c r="N30" s="1">
        <f t="shared" si="0"/>
        <v>2.4399999999999998E-2</v>
      </c>
      <c r="O30" s="3">
        <f>Table1[[#This Row],[Unit Price (inc VAT)]]*Table1[[#This Row],[per batch]]</f>
        <v>2.4399999999999998E-2</v>
      </c>
    </row>
    <row r="31" spans="1:15" x14ac:dyDescent="0.3">
      <c r="A31" t="s">
        <v>79</v>
      </c>
      <c r="B31" t="s">
        <v>80</v>
      </c>
      <c r="C31" t="s">
        <v>139</v>
      </c>
      <c r="D31">
        <v>2</v>
      </c>
      <c r="E31">
        <v>1</v>
      </c>
      <c r="I31" t="s">
        <v>70</v>
      </c>
      <c r="J31" t="s">
        <v>108</v>
      </c>
      <c r="K31" t="s">
        <v>140</v>
      </c>
      <c r="L31" t="s">
        <v>13</v>
      </c>
      <c r="M31" s="1">
        <f>2.86/50</f>
        <v>5.7200000000000001E-2</v>
      </c>
      <c r="N31" s="1">
        <f t="shared" si="0"/>
        <v>0.1144</v>
      </c>
      <c r="O31" s="3">
        <f>Table1[[#This Row],[Unit Price (inc VAT)]]*Table1[[#This Row],[per batch]]</f>
        <v>5.7200000000000001E-2</v>
      </c>
    </row>
    <row r="32" spans="1:15" x14ac:dyDescent="0.3">
      <c r="A32" t="s">
        <v>81</v>
      </c>
      <c r="B32" t="s">
        <v>82</v>
      </c>
      <c r="C32" t="s">
        <v>141</v>
      </c>
      <c r="D32">
        <v>1</v>
      </c>
      <c r="E32">
        <v>1</v>
      </c>
      <c r="I32" t="s">
        <v>70</v>
      </c>
      <c r="J32" t="s">
        <v>108</v>
      </c>
      <c r="K32" t="s">
        <v>142</v>
      </c>
      <c r="L32" t="s">
        <v>13</v>
      </c>
      <c r="M32" s="1">
        <f>2.86/50</f>
        <v>5.7200000000000001E-2</v>
      </c>
      <c r="N32" s="1">
        <f t="shared" si="0"/>
        <v>5.7200000000000001E-2</v>
      </c>
      <c r="O32" s="3">
        <f>Table1[[#This Row],[Unit Price (inc VAT)]]*Table1[[#This Row],[per batch]]</f>
        <v>5.7200000000000001E-2</v>
      </c>
    </row>
    <row r="33" spans="1:15" x14ac:dyDescent="0.3">
      <c r="A33" t="s">
        <v>83</v>
      </c>
      <c r="B33" t="s">
        <v>84</v>
      </c>
      <c r="C33" t="s">
        <v>143</v>
      </c>
      <c r="D33">
        <v>3</v>
      </c>
      <c r="E33">
        <v>1</v>
      </c>
      <c r="I33" t="s">
        <v>70</v>
      </c>
      <c r="J33" t="s">
        <v>108</v>
      </c>
      <c r="K33" t="s">
        <v>144</v>
      </c>
      <c r="L33" t="s">
        <v>13</v>
      </c>
      <c r="M33" s="1">
        <f>2.12/50</f>
        <v>4.24E-2</v>
      </c>
      <c r="N33" s="1">
        <f t="shared" si="0"/>
        <v>0.12720000000000001</v>
      </c>
      <c r="O33" s="3">
        <f>Table1[[#This Row],[Unit Price (inc VAT)]]*Table1[[#This Row],[per batch]]</f>
        <v>4.24E-2</v>
      </c>
    </row>
    <row r="34" spans="1:15" x14ac:dyDescent="0.3">
      <c r="A34" t="s">
        <v>192</v>
      </c>
      <c r="B34" t="s">
        <v>195</v>
      </c>
      <c r="C34" t="s">
        <v>190</v>
      </c>
      <c r="D34">
        <v>2</v>
      </c>
      <c r="E34">
        <f>5*Table1[[#This Row],[Qty]]</f>
        <v>10</v>
      </c>
      <c r="I34" t="s">
        <v>85</v>
      </c>
      <c r="J34" t="s">
        <v>189</v>
      </c>
      <c r="L34" t="s">
        <v>13</v>
      </c>
      <c r="M34" s="1">
        <v>2</v>
      </c>
      <c r="N34" s="1">
        <f t="shared" si="0"/>
        <v>4</v>
      </c>
      <c r="O34" s="3">
        <f>Table1[[#This Row],[Unit Price (inc VAT)]]*Table1[[#This Row],[per batch]]</f>
        <v>20</v>
      </c>
    </row>
    <row r="35" spans="1:15" x14ac:dyDescent="0.3">
      <c r="A35" t="s">
        <v>193</v>
      </c>
      <c r="B35" t="s">
        <v>196</v>
      </c>
      <c r="C35" t="s">
        <v>191</v>
      </c>
      <c r="D35">
        <v>1</v>
      </c>
      <c r="E35">
        <f>5*Table1[[#This Row],[Qty]]</f>
        <v>5</v>
      </c>
      <c r="J35" t="s">
        <v>189</v>
      </c>
      <c r="M35" s="1">
        <v>2</v>
      </c>
      <c r="N35" s="1">
        <f t="shared" si="0"/>
        <v>2</v>
      </c>
      <c r="O35" s="3">
        <f>Table1[[#This Row],[Unit Price (inc VAT)]]*Table1[[#This Row],[per batch]]</f>
        <v>10</v>
      </c>
    </row>
    <row r="36" spans="1:15" x14ac:dyDescent="0.3">
      <c r="A36" t="s">
        <v>86</v>
      </c>
      <c r="B36" t="s">
        <v>195</v>
      </c>
      <c r="C36" t="s">
        <v>194</v>
      </c>
      <c r="D36">
        <v>1</v>
      </c>
      <c r="E36">
        <f>5*Table1[[#This Row],[Qty]]</f>
        <v>5</v>
      </c>
      <c r="I36" t="s">
        <v>87</v>
      </c>
      <c r="J36" t="s">
        <v>189</v>
      </c>
      <c r="L36" t="s">
        <v>13</v>
      </c>
      <c r="M36" s="1">
        <v>2</v>
      </c>
      <c r="N36" s="1">
        <f t="shared" si="0"/>
        <v>2</v>
      </c>
      <c r="O36" s="3">
        <f>Table1[[#This Row],[Unit Price (inc VAT)]]*Table1[[#This Row],[per batch]]</f>
        <v>10</v>
      </c>
    </row>
    <row r="37" spans="1:15" x14ac:dyDescent="0.3">
      <c r="A37" t="s">
        <v>88</v>
      </c>
      <c r="B37" t="s">
        <v>89</v>
      </c>
      <c r="D37">
        <v>1</v>
      </c>
      <c r="E37">
        <f>5*Table1[[#This Row],[Qty]]</f>
        <v>5</v>
      </c>
      <c r="I37" t="s">
        <v>90</v>
      </c>
      <c r="J37" t="s">
        <v>145</v>
      </c>
      <c r="M37" s="1">
        <f>10.26/10</f>
        <v>1.026</v>
      </c>
      <c r="N37" s="1">
        <f t="shared" si="0"/>
        <v>1.026</v>
      </c>
      <c r="O37" s="3">
        <f>Table1[[#This Row],[Unit Price (inc VAT)]]*Table1[[#This Row],[per batch]]</f>
        <v>5.13</v>
      </c>
    </row>
    <row r="38" spans="1:15" x14ac:dyDescent="0.3">
      <c r="A38" t="s">
        <v>91</v>
      </c>
      <c r="B38" t="s">
        <v>92</v>
      </c>
      <c r="C38" t="s">
        <v>186</v>
      </c>
      <c r="D38">
        <v>1</v>
      </c>
      <c r="E38">
        <f>5*Table1[[#This Row],[Qty]]</f>
        <v>5</v>
      </c>
      <c r="I38" t="s">
        <v>93</v>
      </c>
      <c r="J38" t="s">
        <v>108</v>
      </c>
      <c r="K38" t="s">
        <v>185</v>
      </c>
      <c r="L38" t="s">
        <v>94</v>
      </c>
      <c r="M38" s="1">
        <v>3.06</v>
      </c>
      <c r="N38" s="1">
        <f t="shared" si="0"/>
        <v>3.06</v>
      </c>
      <c r="O38" s="3">
        <f>Table1[[#This Row],[Unit Price (inc VAT)]]*Table1[[#This Row],[per batch]]</f>
        <v>15.3</v>
      </c>
    </row>
    <row r="39" spans="1:15" x14ac:dyDescent="0.3">
      <c r="A39" t="s">
        <v>95</v>
      </c>
      <c r="B39" t="s">
        <v>96</v>
      </c>
      <c r="C39" t="s">
        <v>184</v>
      </c>
      <c r="D39">
        <v>1</v>
      </c>
      <c r="E39">
        <f>5*Table1[[#This Row],[Qty]]</f>
        <v>5</v>
      </c>
      <c r="I39" t="s">
        <v>93</v>
      </c>
      <c r="J39" t="s">
        <v>108</v>
      </c>
      <c r="K39" t="s">
        <v>183</v>
      </c>
      <c r="L39" t="s">
        <v>94</v>
      </c>
      <c r="M39" s="1">
        <v>2.98</v>
      </c>
      <c r="N39" s="1">
        <f t="shared" si="0"/>
        <v>2.98</v>
      </c>
      <c r="O39" s="3">
        <f>Table1[[#This Row],[Unit Price (inc VAT)]]*Table1[[#This Row],[per batch]]</f>
        <v>14.9</v>
      </c>
    </row>
    <row r="40" spans="1:15" x14ac:dyDescent="0.3">
      <c r="A40" t="s">
        <v>97</v>
      </c>
      <c r="B40" t="s">
        <v>98</v>
      </c>
      <c r="C40" t="s">
        <v>98</v>
      </c>
      <c r="D40">
        <v>1</v>
      </c>
      <c r="E40">
        <f>5*Table1[[#This Row],[Qty]]</f>
        <v>5</v>
      </c>
      <c r="I40" t="s">
        <v>99</v>
      </c>
      <c r="J40" t="s">
        <v>108</v>
      </c>
      <c r="K40" t="s">
        <v>146</v>
      </c>
      <c r="L40" t="s">
        <v>100</v>
      </c>
      <c r="M40" s="1">
        <v>2.38</v>
      </c>
      <c r="N40" s="1">
        <f t="shared" si="0"/>
        <v>2.38</v>
      </c>
      <c r="O40" s="3">
        <f>Table1[[#This Row],[Unit Price (inc VAT)]]*Table1[[#This Row],[per batch]]</f>
        <v>11.899999999999999</v>
      </c>
    </row>
    <row r="41" spans="1:15" x14ac:dyDescent="0.3">
      <c r="A41" t="s">
        <v>101</v>
      </c>
      <c r="B41" t="s">
        <v>102</v>
      </c>
      <c r="C41" t="s">
        <v>147</v>
      </c>
      <c r="D41">
        <v>2</v>
      </c>
      <c r="E41">
        <f>5*Table1[[#This Row],[Qty]]</f>
        <v>10</v>
      </c>
      <c r="I41" t="s">
        <v>99</v>
      </c>
      <c r="J41" t="s">
        <v>108</v>
      </c>
      <c r="K41" t="s">
        <v>148</v>
      </c>
      <c r="L41" t="s">
        <v>103</v>
      </c>
      <c r="M41" s="1">
        <v>1.2</v>
      </c>
      <c r="N41" s="1">
        <f t="shared" si="0"/>
        <v>2.4</v>
      </c>
      <c r="O41" s="3">
        <f>Table1[[#This Row],[Unit Price (inc VAT)]]*Table1[[#This Row],[per batch]]</f>
        <v>12</v>
      </c>
    </row>
    <row r="42" spans="1:15" x14ac:dyDescent="0.3">
      <c r="A42" t="s">
        <v>177</v>
      </c>
      <c r="B42">
        <v>1590</v>
      </c>
      <c r="C42" t="s">
        <v>104</v>
      </c>
      <c r="D42">
        <v>1</v>
      </c>
      <c r="E42">
        <f>5*Table1[[#This Row],[Qty]]</f>
        <v>5</v>
      </c>
      <c r="I42" t="s">
        <v>178</v>
      </c>
      <c r="J42" t="s">
        <v>108</v>
      </c>
      <c r="K42" t="s">
        <v>182</v>
      </c>
      <c r="L42" t="s">
        <v>105</v>
      </c>
      <c r="M42" s="1">
        <v>12.79</v>
      </c>
      <c r="N42" s="1">
        <f t="shared" si="0"/>
        <v>12.79</v>
      </c>
      <c r="O42" s="3">
        <f>Table1[[#This Row],[Unit Price (inc VAT)]]*Table1[[#This Row],[per batch]]</f>
        <v>63.949999999999996</v>
      </c>
    </row>
    <row r="43" spans="1:15" x14ac:dyDescent="0.3">
      <c r="A43" t="s">
        <v>164</v>
      </c>
      <c r="D43">
        <v>1</v>
      </c>
      <c r="E43">
        <f>5*Table1[[#This Row],[Qty]]</f>
        <v>5</v>
      </c>
      <c r="J43" t="s">
        <v>165</v>
      </c>
      <c r="M43" s="1">
        <f>25.89/5</f>
        <v>5.1779999999999999</v>
      </c>
      <c r="N43" s="1">
        <f t="shared" si="0"/>
        <v>5.1779999999999999</v>
      </c>
      <c r="O43" s="3">
        <f>Table1[[#This Row],[Unit Price (inc VAT)]]*Table1[[#This Row],[per batch]]</f>
        <v>25.89</v>
      </c>
    </row>
    <row r="44" spans="1:15" x14ac:dyDescent="0.3">
      <c r="M44" t="s">
        <v>163</v>
      </c>
      <c r="N44" s="3">
        <f>SUM(N2:N43)</f>
        <v>46.62919999999999</v>
      </c>
      <c r="O44" s="3">
        <f>SUM(O2:O43)</f>
        <v>222.78539999999998</v>
      </c>
    </row>
  </sheetData>
  <pageMargins left="0.7" right="0.7" top="0.75" bottom="0.75" header="0.3" footer="0.3"/>
  <pageSetup paperSize="8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GoRAT (version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Wilson</dc:creator>
  <cp:lastModifiedBy>Dave Wilson</cp:lastModifiedBy>
  <cp:lastPrinted>2026-03-19T15:46:03Z</cp:lastPrinted>
  <dcterms:created xsi:type="dcterms:W3CDTF">2026-03-18T14:40:27Z</dcterms:created>
  <dcterms:modified xsi:type="dcterms:W3CDTF">2026-04-14T15:58:15Z</dcterms:modified>
</cp:coreProperties>
</file>